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04c249b6de46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ad597fdd5534799"/>
    <x:sheet xmlns:r="http://schemas.openxmlformats.org/officeDocument/2006/relationships" name="Assumptions" sheetId="2" r:id="Rb09800496a484743"/>
    <x:sheet xmlns:r="http://schemas.openxmlformats.org/officeDocument/2006/relationships" name="Budget Input" sheetId="3" r:id="R4949d7e0a1be4c75"/>
    <x:sheet xmlns:r="http://schemas.openxmlformats.org/officeDocument/2006/relationships" name="Budget Control" sheetId="4" r:id="Ra76f5905953647eb"/>
    <x:sheet xmlns:r="http://schemas.openxmlformats.org/officeDocument/2006/relationships" name="Governance &amp; Approvals" sheetId="5" r:id="R4e7558eca4c14cfd"/>
    <x:sheet xmlns:r="http://schemas.openxmlformats.org/officeDocument/2006/relationships" name="Checks &amp; Sources" sheetId="6" r:id="R87af2802dd294f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&quot;Rp&quot; #,##0;[Red](&quot;Rp&quot; #,##0);-"/>
    <x:numFmt numFmtId="202" formatCode="yyyy-mm-dd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9"/>
      <x:color rgb="FF5B657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937"/>
      <x:name val="Carlito"/>
    </x:font>
    <x:font>
      <x:i/>
      <x:sz val="11"/>
      <x:color rgb="FF155E75"/>
      <x:name val="Carlito"/>
    </x:font>
    <x:font>
      <x:b/>
      <x:sz val="12"/>
      <x:name val="Carlito"/>
    </x:font>
    <x:font>
      <x:b/>
      <x:sz val="11"/>
      <x:color rgb="FF163A5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EAF0F6"/>
      </x:patternFill>
    </x:fill>
    <x:fill>
      <x:patternFill patternType="solid">
        <x:fgColor rgb="FF1F5A99"/>
      </x:patternFill>
    </x:fill>
    <x:fill>
      <x:patternFill patternType="solid">
        <x:fgColor rgb="FFF3F6F8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  <x:fill>
      <x:patternFill patternType="solid">
        <x:fgColor rgb="FFFCE4D6"/>
      </x:patternFill>
    </x:fill>
  </x:fills>
  <x:borders count="8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medium">
        <x:color rgb="FF1F5A99"/>
      </x:left>
      <x:top style="medium">
        <x:color rgb="FF1F5A99"/>
      </x:top>
    </x:border>
    <x:border>
      <x:right style="medium">
        <x:color rgb="FF1F5A99"/>
      </x:right>
      <x:top style="medium">
        <x:color rgb="FF1F5A99"/>
      </x:top>
    </x:border>
    <x:border>
      <x:left style="medium">
        <x:color rgb="FF1F5A99"/>
      </x:left>
    </x:border>
    <x:border>
      <x:right style="medium">
        <x:color rgb="FF1F5A99"/>
      </x:right>
    </x:border>
    <x:border>
      <x:left style="medium">
        <x:color rgb="FF1F5A99"/>
      </x:left>
      <x:bottom style="medium">
        <x:color rgb="FF1F5A99"/>
      </x:bottom>
    </x:border>
    <x:border>
      <x:right style="medium">
        <x:color rgb="FF1F5A99"/>
      </x:right>
      <x:bottom style="medium">
        <x:color rgb="FF1F5A99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200" fontId="5" fillId="6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201" fontId="5" fillId="6" borderId="1" xfId="0" applyNumberFormat="1" applyFont="1" applyFill="1" applyBorder="1"/>
    <x:xf numFmtId="201" fontId="0" fillId="7" borderId="1" xfId="0" applyNumberFormat="1" applyFont="1" applyFill="1" applyBorder="1"/>
    <x:xf numFmtId="202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202" fontId="5" fillId="6" borderId="1" xfId="0" applyNumberFormat="1" applyFont="1" applyFill="1" applyBorder="1" applyAlignment="1">
      <x:alignment wrapText="1"/>
    </x:xf>
    <x:xf numFmtId="201" fontId="5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/>
    </x:xf>
    <x:xf numFmtId="0" fontId="4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/>
    </x:xf>
    <x:xf numFmtId="0" fontId="0" fillId="7" borderId="2" xfId="0" applyNumberFormat="1" applyFont="1" applyFill="1" applyBorder="1"/>
    <x:xf numFmtId="0" fontId="0" fillId="7" borderId="3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2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horizontal="center" wrapText="1"/>
    </x:xf>
    <x:xf numFmtId="0" fontId="0" fillId="7" borderId="3" xfId="0" applyNumberFormat="1" applyFont="1" applyFill="1" applyBorder="1" applyAlignment="1">
      <x:alignment horizontal="center" wrapText="1"/>
    </x:xf>
    <x:xf numFmtId="0" fontId="0" fillId="7" borderId="4" xfId="0" applyNumberFormat="1" applyFont="1" applyFill="1" applyBorder="1" applyAlignment="1">
      <x:alignment horizontal="center" wrapText="1"/>
    </x:xf>
    <x:xf numFmtId="0" fontId="0" fillId="7" borderId="5" xfId="0" applyNumberFormat="1" applyFont="1" applyFill="1" applyBorder="1" applyAlignment="1">
      <x:alignment horizontal="center" wrapText="1"/>
    </x:xf>
    <x:xf numFmtId="0" fontId="0" fillId="7" borderId="6" xfId="0" applyNumberFormat="1" applyFont="1" applyFill="1" applyBorder="1" applyAlignment="1">
      <x:alignment horizontal="center" wrapText="1"/>
    </x:xf>
    <x:xf numFmtId="0" fontId="0" fillId="7" borderId="7" xfId="0" applyNumberFormat="1" applyFont="1" applyFill="1" applyBorder="1" applyAlignment="1">
      <x:alignment horizontal="center" wrapText="1"/>
    </x:xf>
    <x:xf numFmtId="0" fontId="0" fillId="7" borderId="2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4" xfId="0" applyNumberFormat="1" applyFont="1" applyFill="1" applyBorder="1" applyAlignment="1">
      <x:alignment horizontal="center" vertical="center" wrapText="1"/>
    </x:xf>
    <x:xf numFmtId="0" fontId="0" fillId="7" borderId="5" xfId="0" applyNumberFormat="1" applyFont="1" applyFill="1" applyBorder="1" applyAlignment="1">
      <x:alignment horizontal="center" vertical="center" wrapText="1"/>
    </x:xf>
    <x:xf numFmtId="0" fontId="0" fillId="7" borderId="6" xfId="0" applyNumberFormat="1" applyFont="1" applyFill="1" applyBorder="1" applyAlignment="1">
      <x:alignment horizontal="center" vertical="center" wrapText="1"/>
    </x:xf>
    <x:xf numFmtId="0" fontId="0" fillId="7" borderId="7" xfId="0" applyNumberFormat="1" applyFont="1" applyFill="1" applyBorder="1" applyAlignment="1">
      <x:alignment horizontal="center" vertical="center" wrapText="1"/>
    </x:xf>
    <x:xf numFmtId="0" fontId="8" fillId="7" borderId="2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0" fillId="9" borderId="2" xfId="0" applyNumberFormat="1" applyFont="1" applyFill="1" applyBorder="1"/>
    <x:xf numFmtId="0" fontId="0" fillId="9" borderId="3" xfId="0" applyNumberFormat="1" applyFont="1" applyFill="1" applyBorder="1"/>
    <x:xf numFmtId="0" fontId="0" fillId="9" borderId="4" xfId="0" applyNumberFormat="1" applyFont="1" applyFill="1" applyBorder="1"/>
    <x:xf numFmtId="0" fontId="0" fillId="9" borderId="5" xfId="0" applyNumberFormat="1" applyFont="1" applyFill="1" applyBorder="1"/>
    <x:xf numFmtId="0" fontId="0" fillId="9" borderId="6" xfId="0" applyNumberFormat="1" applyFont="1" applyFill="1" applyBorder="1"/>
    <x:xf numFmtId="0" fontId="0" fillId="9" borderId="7" xfId="0" applyNumberFormat="1" applyFont="1" applyFill="1" applyBorder="1"/>
    <x:xf numFmtId="0" fontId="0" fillId="9" borderId="2" xfId="0" applyNumberFormat="1" applyFont="1" applyFill="1" applyBorder="1" applyAlignment="1">
      <x:alignment wrapText="1"/>
    </x:xf>
    <x:xf numFmtId="0" fontId="0" fillId="9" borderId="3" xfId="0" applyNumberFormat="1" applyFont="1" applyFill="1" applyBorder="1" applyAlignment="1">
      <x:alignment wrapText="1"/>
    </x:xf>
    <x:xf numFmtId="0" fontId="0" fillId="9" borderId="4" xfId="0" applyNumberFormat="1" applyFont="1" applyFill="1" applyBorder="1" applyAlignment="1">
      <x:alignment wrapText="1"/>
    </x:xf>
    <x:xf numFmtId="0" fontId="0" fillId="9" borderId="5" xfId="0" applyNumberFormat="1" applyFont="1" applyFill="1" applyBorder="1" applyAlignment="1">
      <x:alignment wrapText="1"/>
    </x:xf>
    <x:xf numFmtId="0" fontId="0" fillId="9" borderId="6" xfId="0" applyNumberFormat="1" applyFont="1" applyFill="1" applyBorder="1" applyAlignment="1">
      <x:alignment wrapText="1"/>
    </x:xf>
    <x:xf numFmtId="0" fontId="0" fillId="9" borderId="7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horizontal="center" wrapText="1"/>
    </x:xf>
    <x:xf numFmtId="0" fontId="0" fillId="9" borderId="3" xfId="0" applyNumberFormat="1" applyFont="1" applyFill="1" applyBorder="1" applyAlignment="1">
      <x:alignment horizontal="center" wrapText="1"/>
    </x:xf>
    <x:xf numFmtId="0" fontId="0" fillId="9" borderId="4" xfId="0" applyNumberFormat="1" applyFont="1" applyFill="1" applyBorder="1" applyAlignment="1">
      <x:alignment horizontal="center" wrapText="1"/>
    </x:xf>
    <x:xf numFmtId="0" fontId="0" fillId="9" borderId="5" xfId="0" applyNumberFormat="1" applyFont="1" applyFill="1" applyBorder="1" applyAlignment="1">
      <x:alignment horizontal="center" wrapText="1"/>
    </x:xf>
    <x:xf numFmtId="0" fontId="0" fillId="9" borderId="6" xfId="0" applyNumberFormat="1" applyFont="1" applyFill="1" applyBorder="1" applyAlignment="1">
      <x:alignment horizontal="center" wrapText="1"/>
    </x:xf>
    <x:xf numFmtId="0" fontId="0" fillId="9" borderId="7" xfId="0" applyNumberFormat="1" applyFont="1" applyFill="1" applyBorder="1" applyAlignment="1">
      <x:alignment horizontal="center"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9" borderId="3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horizontal="center" vertical="center" wrapText="1"/>
    </x:xf>
    <x:xf numFmtId="0" fontId="0" fillId="9" borderId="7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2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horizontal="center" wrapText="1"/>
    </x:xf>
    <x:xf numFmtId="0" fontId="0" fillId="6" borderId="3" xfId="0" applyNumberFormat="1" applyFont="1" applyFill="1" applyBorder="1" applyAlignment="1">
      <x:alignment horizontal="center" wrapText="1"/>
    </x:xf>
    <x:xf numFmtId="0" fontId="0" fillId="6" borderId="4" xfId="0" applyNumberFormat="1" applyFont="1" applyFill="1" applyBorder="1" applyAlignment="1">
      <x:alignment horizontal="center" wrapText="1"/>
    </x:xf>
    <x:xf numFmtId="0" fontId="0" fillId="6" borderId="5" xfId="0" applyNumberFormat="1" applyFont="1" applyFill="1" applyBorder="1" applyAlignment="1">
      <x:alignment horizontal="center" wrapText="1"/>
    </x:xf>
    <x:xf numFmtId="0" fontId="0" fillId="6" borderId="6" xfId="0" applyNumberFormat="1" applyFont="1" applyFill="1" applyBorder="1" applyAlignment="1">
      <x:alignment horizontal="center" wrapText="1"/>
    </x:xf>
    <x:xf numFmtId="0" fontId="0" fillId="6" borderId="7" xfId="0" applyNumberFormat="1" applyFont="1" applyFill="1" applyBorder="1" applyAlignment="1">
      <x:alignment horizontal="center" wrapText="1"/>
    </x:xf>
    <x:xf numFmtId="0" fontId="0" fillId="6" borderId="2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6" borderId="4" xfId="0" applyNumberFormat="1" applyFont="1" applyFill="1" applyBorder="1" applyAlignment="1">
      <x:alignment horizontal="center" vertical="center" wrapText="1"/>
    </x:xf>
    <x:xf numFmtId="0" fontId="0" fillId="6" borderId="5" xfId="0" applyNumberFormat="1" applyFont="1" applyFill="1" applyBorder="1" applyAlignment="1">
      <x:alignment horizontal="center" vertical="center" wrapText="1"/>
    </x:xf>
    <x:xf numFmtId="0" fontId="0" fillId="6" borderId="6" xfId="0" applyNumberFormat="1" applyFont="1" applyFill="1" applyBorder="1" applyAlignment="1">
      <x:alignment horizontal="center" vertical="center" wrapText="1"/>
    </x:xf>
    <x:xf numFmtId="0" fontId="0" fillId="6" borderId="7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74462ac964b29" /><Relationship Type="http://schemas.openxmlformats.org/officeDocument/2006/relationships/theme" Target="/xl/theme/theme1.xml" Id="Rab567bd17fa24f1e" /><Relationship Type="http://schemas.openxmlformats.org/officeDocument/2006/relationships/sharedStrings" Target="/xl/sharedStrings.xml" Id="R67a6859d05034414" /><Relationship Type="http://schemas.openxmlformats.org/officeDocument/2006/relationships/worksheet" Target="/xl/worksheets/sheet1.xml" Id="R0ad597fdd5534799" /><Relationship Type="http://schemas.openxmlformats.org/officeDocument/2006/relationships/worksheet" Target="/xl/worksheets/sheet2.xml" Id="Rb09800496a484743" /><Relationship Type="http://schemas.openxmlformats.org/officeDocument/2006/relationships/worksheet" Target="/xl/worksheets/sheet3.xml" Id="R4949d7e0a1be4c75" /><Relationship Type="http://schemas.openxmlformats.org/officeDocument/2006/relationships/worksheet" Target="/xl/worksheets/sheet4.xml" Id="Ra76f5905953647eb" /><Relationship Type="http://schemas.openxmlformats.org/officeDocument/2006/relationships/worksheet" Target="/xl/worksheets/sheet5.xml" Id="R4e7558eca4c14cfd" /><Relationship Type="http://schemas.openxmlformats.org/officeDocument/2006/relationships/worksheet" Target="/xl/worksheets/sheet6.xml" Id="R87af2802dd294f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c9289e4b5146a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Budget Plan vs Actual (IDR)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Plan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'Dashboard'!$B$13:$B$24</c:f>
              <c:numCache>
                <c:formatCode>"Rp" #,##0;[Red]("Rp" 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</c:v>
          </c:tx>
          <c:marker>
            <c:symbol val="none"/>
          </c:marker>
          <c:cat>
            <c:strRef>
              <c:f>'Dashboard'!$A$13:$A$24</c:f>
              <c:strCache>
                <c:ptCount val="0"/>
              </c:strCache>
            </c:strRef>
          </c:cat>
          <c:val>
            <c:numRef>
              <c:f>'Dashboard'!$C$13:$C$24</c:f>
              <c:numCache>
                <c:formatCode>"Rp" #,##0;[Red]("Rp" 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16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c9289e4b5146a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InputTable" displayName="BudgetInputTable" ref="A6:V36" headerRowCount="1" totalsRowCount="0" totalsRowShown="0">
  <x:tableColumns count="22">
    <x:tableColumn id="1" name="Budget ID"/>
    <x:tableColumn id="2" name="Business Unit"/>
    <x:tableColumn id="3" name="Cost Center"/>
    <x:tableColumn id="4" name="Service / Initiative"/>
    <x:tableColumn id="5" name="COBIT Driver"/>
    <x:tableColumn id="6" name="Spend Type"/>
    <x:tableColumn id="7" name="Run / Change"/>
    <x:tableColumn id="8" name="Cost Category"/>
    <x:tableColumn id="9" name="Accountable Owner"/>
    <x:tableColumn id="10" name="Approved Annual Budget"/>
    <x:tableColumn id="11" name="Jan"/>
    <x:tableColumn id="12" name="Feb"/>
    <x:tableColumn id="13" name="Mar"/>
    <x:tableColumn id="14" name="Apr"/>
    <x:tableColumn id="15" name="May"/>
    <x:tableColumn id="16" name="Jun"/>
    <x:tableColumn id="17" name="Jul"/>
    <x:tableColumn id="18" name="Aug"/>
    <x:tableColumn id="19" name="Sep"/>
    <x:tableColumn id="20" name="Oct"/>
    <x:tableColumn id="21" name="Nov"/>
    <x:tableColumn id="22" name="De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dgetControlTable" displayName="BudgetControlTable" ref="A6:Y36" headerRowCount="1" totalsRowCount="0" totalsRowShown="0">
  <x:tableColumns count="25">
    <x:tableColumn id="1" name="Budget ID"/>
    <x:tableColumn id="2" name="Cost Center"/>
    <x:tableColumn id="3" name="Service / Initiative"/>
    <x:tableColumn id="4" name="Spend Type"/>
    <x:tableColumn id="5" name="Cost Category"/>
    <x:tableColumn id="6" name="Annual Budget"/>
    <x:tableColumn id="7" name="Jan Actual"/>
    <x:tableColumn id="8" name="Feb Actual"/>
    <x:tableColumn id="9" name="Mar Actual"/>
    <x:tableColumn id="10" name="Apr Actual"/>
    <x:tableColumn id="11" name="May Actual"/>
    <x:tableColumn id="12" name="Jun Actual"/>
    <x:tableColumn id="13" name="Jul Actual"/>
    <x:tableColumn id="14" name="Aug Actual"/>
    <x:tableColumn id="15" name="Sep Actual"/>
    <x:tableColumn id="16" name="Oct Actual"/>
    <x:tableColumn id="17" name="Nov Actual"/>
    <x:tableColumn id="18" name="Dec Actual"/>
    <x:tableColumn id="19" name="YTD Budget"/>
    <x:tableColumn id="20" name="YTD Actual"/>
    <x:tableColumn id="21" name="FY Forecast"/>
    <x:tableColumn id="22" name="Variance"/>
    <x:tableColumn id="23" name="Variance %"/>
    <x:tableColumn id="24" name="Control Status"/>
    <x:tableColumn id="25" name="Action / Com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83ebfe7349f4fd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85f983b40084c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bb5df4a0f28470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19.200000762939453" hidden="0" customHeight="1">
      <x:c r="A1" s="4" t="str">
        <x:v>Executive IT Budget Dashboard — APO06 Managed Budget and Costs</x:v>
      </x:c>
      <x:c r="B1" s="4" t="str">
        <x:v>Executive IT Budget Dashboard — APO06 Managed Budget and Costs</x:v>
      </x:c>
      <x:c r="C1" s="4" t="str">
        <x:v>Executive IT Budget Dashboard — APO06 Managed Budget and Costs</x:v>
      </x:c>
      <x:c r="D1" s="4" t="str">
        <x:v>Executive IT Budget Dashboard — APO06 Managed Budget and Costs</x:v>
      </x:c>
      <x:c r="E1" s="4" t="str">
        <x:v>Executive IT Budget Dashboard — APO06 Managed Budget and Costs</x:v>
      </x:c>
      <x:c r="F1" s="4" t="str">
        <x:v>Executive IT Budget Dashboard — APO06 Managed Budget and Costs</x:v>
      </x:c>
      <x:c r="G1" s="4" t="str">
        <x:v>Executive IT Budget Dashboard — APO06 Managed Budget and Costs</x:v>
      </x:c>
      <x:c r="H1" s="4" t="str">
        <x:v>Executive IT Budget Dashboard — APO06 Managed Budget and Costs</x:v>
      </x:c>
      <x:c r="I1" s="4" t="str">
        <x:v>Executive IT Budget Dashboard — APO06 Managed Budget and Costs</x:v>
      </x:c>
      <x:c r="J1" s="4" t="str">
        <x:v>Executive IT Budget Dashboard — APO06 Managed Budget and Costs</x:v>
      </x:c>
      <x:c r="K1" s="4" t="str">
        <x:v>Executive IT Budget Dashboard — APO06 Managed Budget and Costs</x:v>
      </x:c>
      <x:c r="L1" s="4" t="str">
        <x:v>Executive IT Budget Dashboard — APO06 Managed Budget and Costs</x:v>
      </x:c>
      <x:c r="M1" s="4" t="str">
        <x:v>Executive IT Budget Dashboard — APO06 Managed Budget and Costs</x:v>
      </x:c>
      <x:c r="N1" s="4" t="str">
        <x:v>Executive IT Budget Dashboard — APO06 Managed Budget and Costs</x:v>
      </x:c>
      <x:c r="O1" s="4" t="str">
        <x:v>Executive IT Budget Dashboard — APO06 Managed Budget and Costs</x:v>
      </x:c>
      <x:c r="P1" s="4" t="str">
        <x:v>Executive IT Budget Dashboard — APO06 Managed Budget and Costs</x:v>
      </x:c>
    </x:row>
    <x:row r="2" ht="15" hidden="0" customHeight="1">
      <x:c r="A2" s="7" t="str">
        <x:v>Annual / periodic governance view. Change reporting month and thresholds in Assumptions; input actuals in Budget Control.</x:v>
      </x:c>
      <x:c r="B2" s="7" t="str">
        <x:v>Annual / periodic governance view. Change reporting month and thresholds in Assumptions; input actuals in Budget Control.</x:v>
      </x:c>
      <x:c r="C2" s="7" t="str">
        <x:v>Annual / periodic governance view. Change reporting month and thresholds in Assumptions; input actuals in Budget Control.</x:v>
      </x:c>
      <x:c r="D2" s="7" t="str">
        <x:v>Annual / periodic governance view. Change reporting month and thresholds in Assumptions; input actuals in Budget Control.</x:v>
      </x:c>
      <x:c r="E2" s="7" t="str">
        <x:v>Annual / periodic governance view. Change reporting month and thresholds in Assumptions; input actuals in Budget Control.</x:v>
      </x:c>
      <x:c r="F2" s="7" t="str">
        <x:v>Annual / periodic governance view. Change reporting month and thresholds in Assumptions; input actuals in Budget Control.</x:v>
      </x:c>
      <x:c r="G2" s="7" t="str">
        <x:v>Annual / periodic governance view. Change reporting month and thresholds in Assumptions; input actuals in Budget Control.</x:v>
      </x:c>
      <x:c r="H2" s="7" t="str">
        <x:v>Annual / periodic governance view. Change reporting month and thresholds in Assumptions; input actuals in Budget Control.</x:v>
      </x:c>
      <x:c r="I2" s="7" t="str">
        <x:v>Annual / periodic governance view. Change reporting month and thresholds in Assumptions; input actuals in Budget Control.</x:v>
      </x:c>
      <x:c r="J2" s="7" t="str">
        <x:v>Annual / periodic governance view. Change reporting month and thresholds in Assumptions; input actuals in Budget Control.</x:v>
      </x:c>
      <x:c r="K2" s="7" t="str">
        <x:v>Annual / periodic governance view. Change reporting month and thresholds in Assumptions; input actuals in Budget Control.</x:v>
      </x:c>
      <x:c r="L2" s="7" t="str">
        <x:v>Annual / periodic governance view. Change reporting month and thresholds in Assumptions; input actuals in Budget Control.</x:v>
      </x:c>
      <x:c r="M2" s="7" t="str">
        <x:v>Annual / periodic governance view. Change reporting month and thresholds in Assumptions; input actuals in Budget Control.</x:v>
      </x:c>
      <x:c r="N2" s="7" t="str">
        <x:v>Annual / periodic governance view. Change reporting month and thresholds in Assumptions; input actuals in Budget Control.</x:v>
      </x:c>
      <x:c r="O2" s="7" t="str">
        <x:v>Annual / periodic governance view. Change reporting month and thresholds in Assumptions; input actuals in Budget Control.</x:v>
      </x:c>
      <x:c r="P2" s="7" t="str">
        <x:v>Annual / periodic governance view. Change reporting month and thresholds in Assumptions; input actuals in Budget Control.</x:v>
      </x:c>
    </x:row>
    <x:row r="3"/>
    <x:row r="4" ht="15" hidden="0" customHeight="1">
      <x:c r="A4" s="40" t="str">
        <x:v>Fiscal Year</x:v>
      </x:c>
      <x:c r="B4" s="40" t="str">
        <x:v>Fiscal Year</x:v>
      </x:c>
      <x:c r="C4" s="42" t="n">
        <x:f>'Assumptions'!$B$5</x:f>
        <x:v>2027</x:v>
      </x:c>
      <x:c r="D4" s="42"/>
      <x:c r="E4" s="40" t="str">
        <x:v>Report Month</x:v>
      </x:c>
      <x:c r="F4" s="40" t="str">
        <x:v>Report Month</x:v>
      </x:c>
      <x:c r="G4" s="42" t="str">
        <x:f>CHOOSE('Assumptions'!$B$6,"Jan","Feb","Mar","Apr","May","Jun","Jul","Aug","Sep","Oct","Nov","Dec")</x:f>
        <x:v>Jan</x:v>
      </x:c>
      <x:c r="H4" s="42"/>
      <x:c r="I4" s="40" t="str">
        <x:v>Model Status</x:v>
      </x:c>
      <x:c r="J4" s="40" t="str">
        <x:v>Model Status</x:v>
      </x:c>
      <x:c r="K4" s="41" t="str">
        <x:f>'Checks &amp; Sources'!$B$10</x:f>
        <x:v>PASS</x:v>
      </x:c>
      <x:c r="L4" s="41"/>
    </x:row>
    <x:row r="5"/>
    <x:row r="6">
      <x:c r="A6" s="67" t="str">
        <x:f>"Approved Annual Budget"&amp;CHAR(10)&amp;TEXT(SUM('Budget Control'!$F$7:$F$36),"#,##0")</x:f>
        <x:v>Approved Annual Budget
5,030,000,000</x:v>
      </x:c>
      <x:c r="B6" s="62"/>
      <x:c r="D6" s="67" t="str">
        <x:f>"YTD Budget"&amp;CHAR(10)&amp;TEXT(SUM('Budget Control'!$S$7:$S$36),"#,##0")</x:f>
        <x:v>YTD Budget
352,100,000</x:v>
      </x:c>
      <x:c r="E6" s="62"/>
      <x:c r="G6" s="67" t="str">
        <x:f>"YTD Actual"&amp;CHAR(10)&amp;TEXT(SUM('Budget Control'!$T$7:$T$36),"#,##0")</x:f>
        <x:v>YTD Actual
0</x:v>
      </x:c>
      <x:c r="H6" s="62"/>
      <x:c r="J6" s="67" t="str">
        <x:f>"FY Forecast"&amp;CHAR(10)&amp;TEXT(SUM('Budget Control'!$U$7:$U$36),"#,##0")</x:f>
        <x:v>FY Forecast
4,677,900,000</x:v>
      </x:c>
      <x:c r="K6" s="62"/>
      <x:c r="M6" s="93" t="str">
        <x:f>"Forecast Variance"&amp;CHAR(10)&amp;TEXT(SUM('Budget Control'!$V$7:$V$36),"#,##0")</x:f>
        <x:v>Forecast Variance
-352,100,000</x:v>
      </x:c>
      <x:c r="N6" s="88"/>
      <x:c r="P6" s="118" t="str">
        <x:f>"Escalations"&amp;CHAR(10)&amp;TEXT(COUNTIF('Budget Control'!$X$7:$X$36,"ESCALATE"),"#,##0")</x:f>
        <x:v>Escalations
0</x:v>
      </x:c>
      <x:c r="Q6" s="113"/>
    </x:row>
    <x:row r="7">
      <x:c r="A7" s="63"/>
      <x:c r="B7" s="64"/>
      <x:c r="D7" s="63"/>
      <x:c r="E7" s="64"/>
      <x:c r="G7" s="63"/>
      <x:c r="H7" s="64"/>
      <x:c r="J7" s="63"/>
      <x:c r="K7" s="64"/>
      <x:c r="M7" s="89"/>
      <x:c r="N7" s="90"/>
      <x:c r="P7" s="114"/>
      <x:c r="Q7" s="115"/>
    </x:row>
    <x:row r="8">
      <x:c r="A8" s="65"/>
      <x:c r="B8" s="66"/>
      <x:c r="D8" s="65"/>
      <x:c r="E8" s="66"/>
      <x:c r="G8" s="65"/>
      <x:c r="H8" s="66"/>
      <x:c r="J8" s="65"/>
      <x:c r="K8" s="66"/>
      <x:c r="M8" s="91"/>
      <x:c r="N8" s="92"/>
      <x:c r="P8" s="116"/>
      <x:c r="Q8" s="117"/>
    </x:row>
    <x:row r="9"/>
    <x:row r="10"/>
    <x:row r="11"/>
    <x:row r="12" ht="15" hidden="0" customHeight="1">
      <x:c r="A12" s="22" t="str">
        <x:v>Month</x:v>
      </x:c>
      <x:c r="B12" s="22" t="str">
        <x:v>Budget Plan</x:v>
      </x:c>
      <x:c r="C12" s="22" t="str">
        <x:v>Actual</x:v>
      </x:c>
      <x:c r="D12" s="22" t="str">
        <x:v>Variance</x:v>
      </x:c>
    </x:row>
    <x:row r="13" ht="15" hidden="0" customHeight="1">
      <x:c r="A13" s="26" t="str">
        <x:v>Jan</x:v>
      </x:c>
      <x:c r="B13" s="120" t="n">
        <x:f>SUM('Budget Input'!$K$7:$K$36)</x:f>
        <x:v>352100000</x:v>
      </x:c>
      <x:c r="C13" s="120" t="n">
        <x:f>SUM('Budget Control'!$G$7:$G$36)</x:f>
        <x:v>0</x:v>
      </x:c>
      <x:c r="D13" s="120" t="n">
        <x:f>C13-B13</x:f>
        <x:v>-352100000</x:v>
      </x:c>
    </x:row>
    <x:row r="14" ht="15" hidden="0" customHeight="1">
      <x:c r="A14" s="26" t="str">
        <x:v>Feb</x:v>
      </x:c>
      <x:c r="B14" s="120" t="n">
        <x:f>SUM('Budget Input'!$L$7:$L$36)</x:f>
        <x:v>352100000</x:v>
      </x:c>
      <x:c r="C14" s="120" t="n">
        <x:f>SUM('Budget Control'!$H$7:$H$36)</x:f>
        <x:v>0</x:v>
      </x:c>
      <x:c r="D14" s="120" t="n">
        <x:f>C14-B14</x:f>
        <x:v>-352100000</x:v>
      </x:c>
    </x:row>
    <x:row r="15" ht="15" hidden="0" customHeight="1">
      <x:c r="A15" s="26" t="str">
        <x:v>Mar</x:v>
      </x:c>
      <x:c r="B15" s="120" t="n">
        <x:f>SUM('Budget Input'!$M$7:$M$36)</x:f>
        <x:v>402400000</x:v>
      </x:c>
      <x:c r="C15" s="120" t="n">
        <x:f>SUM('Budget Control'!$I$7:$I$36)</x:f>
        <x:v>0</x:v>
      </x:c>
      <x:c r="D15" s="120" t="n">
        <x:f>C15-B15</x:f>
        <x:v>-402400000</x:v>
      </x:c>
    </x:row>
    <x:row r="16" ht="15" hidden="0" customHeight="1">
      <x:c r="A16" s="26" t="str">
        <x:v>Apr</x:v>
      </x:c>
      <x:c r="B16" s="120" t="n">
        <x:f>SUM('Budget Input'!$N$7:$N$36)</x:f>
        <x:v>402400000</x:v>
      </x:c>
      <x:c r="C16" s="120" t="n">
        <x:f>SUM('Budget Control'!$J$7:$J$36)</x:f>
        <x:v>0</x:v>
      </x:c>
      <x:c r="D16" s="120" t="n">
        <x:f>C16-B16</x:f>
        <x:v>-402400000</x:v>
      </x:c>
    </x:row>
    <x:row r="17" ht="15" hidden="0" customHeight="1">
      <x:c r="A17" s="26" t="str">
        <x:v>May</x:v>
      </x:c>
      <x:c r="B17" s="120" t="n">
        <x:f>SUM('Budget Input'!$O$7:$O$36)</x:f>
        <x:v>402400000</x:v>
      </x:c>
      <x:c r="C17" s="120" t="n">
        <x:f>SUM('Budget Control'!$K$7:$K$36)</x:f>
        <x:v>0</x:v>
      </x:c>
      <x:c r="D17" s="120" t="n">
        <x:f>C17-B17</x:f>
        <x:v>-402400000</x:v>
      </x:c>
    </x:row>
    <x:row r="18" ht="15" hidden="0" customHeight="1">
      <x:c r="A18" s="26" t="str">
        <x:v>Jun</x:v>
      </x:c>
      <x:c r="B18" s="120" t="n">
        <x:f>SUM('Budget Input'!$P$7:$P$36)</x:f>
        <x:v>402400000</x:v>
      </x:c>
      <x:c r="C18" s="120" t="n">
        <x:f>SUM('Budget Control'!$L$7:$L$36)</x:f>
        <x:v>0</x:v>
      </x:c>
      <x:c r="D18" s="120" t="n">
        <x:f>C18-B18</x:f>
        <x:v>-402400000</x:v>
      </x:c>
    </x:row>
    <x:row r="19" ht="15" hidden="0" customHeight="1">
      <x:c r="A19" s="26" t="str">
        <x:v>Jul</x:v>
      </x:c>
      <x:c r="B19" s="120" t="n">
        <x:f>SUM('Budget Input'!$Q$7:$Q$36)</x:f>
        <x:v>452700000</x:v>
      </x:c>
      <x:c r="C19" s="120" t="n">
        <x:f>SUM('Budget Control'!$M$7:$M$36)</x:f>
        <x:v>0</x:v>
      </x:c>
      <x:c r="D19" s="120" t="n">
        <x:f>C19-B19</x:f>
        <x:v>-452700000</x:v>
      </x:c>
    </x:row>
    <x:row r="20" ht="15" hidden="0" customHeight="1">
      <x:c r="A20" s="26" t="str">
        <x:v>Aug</x:v>
      </x:c>
      <x:c r="B20" s="120" t="n">
        <x:f>SUM('Budget Input'!$R$7:$R$36)</x:f>
        <x:v>452700000</x:v>
      </x:c>
      <x:c r="C20" s="120" t="n">
        <x:f>SUM('Budget Control'!$N$7:$N$36)</x:f>
        <x:v>0</x:v>
      </x:c>
      <x:c r="D20" s="120" t="n">
        <x:f>C20-B20</x:f>
        <x:v>-452700000</x:v>
      </x:c>
    </x:row>
    <x:row r="21" ht="15" hidden="0" customHeight="1">
      <x:c r="A21" s="26" t="str">
        <x:v>Sep</x:v>
      </x:c>
      <x:c r="B21" s="120" t="n">
        <x:f>SUM('Budget Input'!$S$7:$S$36)</x:f>
        <x:v>402400000</x:v>
      </x:c>
      <x:c r="C21" s="120" t="n">
        <x:f>SUM('Budget Control'!$O$7:$O$36)</x:f>
        <x:v>0</x:v>
      </x:c>
      <x:c r="D21" s="120" t="n">
        <x:f>C21-B21</x:f>
        <x:v>-402400000</x:v>
      </x:c>
    </x:row>
    <x:row r="22" ht="15" hidden="0" customHeight="1">
      <x:c r="A22" s="26" t="str">
        <x:v>Oct</x:v>
      </x:c>
      <x:c r="B22" s="120" t="n">
        <x:f>SUM('Budget Input'!$T$7:$T$36)</x:f>
        <x:v>452700000</x:v>
      </x:c>
      <x:c r="C22" s="120" t="n">
        <x:f>SUM('Budget Control'!$P$7:$P$36)</x:f>
        <x:v>0</x:v>
      </x:c>
      <x:c r="D22" s="120" t="n">
        <x:f>C22-B22</x:f>
        <x:v>-452700000</x:v>
      </x:c>
    </x:row>
    <x:row r="23" ht="15" hidden="0" customHeight="1">
      <x:c r="A23" s="26" t="str">
        <x:v>Nov</x:v>
      </x:c>
      <x:c r="B23" s="120" t="n">
        <x:f>SUM('Budget Input'!$U$7:$U$36)</x:f>
        <x:v>452700000</x:v>
      </x:c>
      <x:c r="C23" s="120" t="n">
        <x:f>SUM('Budget Control'!$Q$7:$Q$36)</x:f>
        <x:v>0</x:v>
      </x:c>
      <x:c r="D23" s="120" t="n">
        <x:f>C23-B23</x:f>
        <x:v>-452700000</x:v>
      </x:c>
    </x:row>
    <x:row r="24" ht="15" hidden="0" customHeight="1">
      <x:c r="A24" s="26" t="str">
        <x:v>Dec</x:v>
      </x:c>
      <x:c r="B24" s="120" t="n">
        <x:f>SUM('Budget Input'!$V$7:$V$36)</x:f>
        <x:v>503000000</x:v>
      </x:c>
      <x:c r="C24" s="120" t="n">
        <x:f>SUM('Budget Control'!$R$7:$R$36)</x:f>
        <x:v>0</x:v>
      </x:c>
      <x:c r="D24" s="120" t="n">
        <x:f>C24-B24</x:f>
        <x:v>-503000000</x:v>
      </x:c>
    </x:row>
    <x:row r="25"/>
    <x:row r="26"/>
    <x:row r="27" ht="15" hidden="0" customHeight="1">
      <x:c r="A27" s="10" t="str">
        <x:v>Budget line exceptions requiring management action</x:v>
      </x:c>
      <x:c r="B27" s="10" t="str">
        <x:v>Budget line exceptions requiring management action</x:v>
      </x:c>
      <x:c r="C27" s="10" t="str">
        <x:v>Budget line exceptions requiring management action</x:v>
      </x:c>
      <x:c r="D27" s="10" t="str">
        <x:v>Budget line exceptions requiring management action</x:v>
      </x:c>
      <x:c r="E27" s="10" t="str">
        <x:v>Budget line exceptions requiring management action</x:v>
      </x:c>
      <x:c r="F27" s="10" t="str">
        <x:v>Budget line exceptions requiring management action</x:v>
      </x:c>
      <x:c r="G27" s="10" t="str">
        <x:v>Budget line exceptions requiring management action</x:v>
      </x:c>
      <x:c r="H27" s="10" t="str">
        <x:v>Budget line exceptions requiring management action</x:v>
      </x:c>
      <x:c r="I27" s="10" t="str">
        <x:v>Budget line exceptions requiring management action</x:v>
      </x:c>
      <x:c r="J27" s="10" t="str">
        <x:v>Budget line exceptions requiring management action</x:v>
      </x:c>
      <x:c r="K27" s="10" t="str">
        <x:v>Budget line exceptions requiring management action</x:v>
      </x:c>
      <x:c r="L27" s="10" t="str">
        <x:v>Budget line exceptions requiring management action</x:v>
      </x:c>
      <x:c r="M27" s="10" t="str">
        <x:v>Budget line exceptions requiring management action</x:v>
      </x:c>
      <x:c r="N27" s="10" t="str">
        <x:v>Budget line exceptions requiring management action</x:v>
      </x:c>
      <x:c r="O27" s="10" t="str">
        <x:v>Budget line exceptions requiring management action</x:v>
      </x:c>
      <x:c r="P27" s="10" t="str">
        <x:v>Budget line exceptions requiring management action</x:v>
      </x:c>
    </x:row>
    <x:row r="28" ht="15" hidden="0" customHeight="1">
      <x:c r="A28" s="22" t="str">
        <x:v>Budget ID</x:v>
      </x:c>
      <x:c r="B28" s="22" t="str">
        <x:v>Initiative</x:v>
      </x:c>
      <x:c r="C28" s="22" t="str">
        <x:v>FY Forecast</x:v>
      </x:c>
      <x:c r="D28" s="22" t="str">
        <x:v>Variance</x:v>
      </x:c>
      <x:c r="E28" s="22" t="str">
        <x:v>Variance %</x:v>
      </x:c>
      <x:c r="F28" s="22" t="str">
        <x:v>Control Status</x:v>
      </x:c>
    </x:row>
    <x:row r="29" ht="15" hidden="0" customHeight="1">
      <x:c r="A29" s="26" t="str">
        <x:f>'Budget Control'!A7</x:f>
        <x:v>IT-001</x:v>
      </x:c>
      <x:c r="B29" s="26" t="str">
        <x:f>'Budget Control'!C7</x:f>
        <x:v>Cloud Infrastructure</x:v>
      </x:c>
      <x:c r="C29" s="120" t="n">
        <x:f>'Budget Control'!U7</x:f>
        <x:v>1116000000</x:v>
      </x:c>
      <x:c r="D29" s="120" t="n">
        <x:f>'Budget Control'!V7</x:f>
        <x:v>-84000000</x:v>
      </x:c>
      <x:c r="E29" s="122" t="n">
        <x:f>'Budget Control'!W7</x:f>
        <x:v>-0.07</x:v>
      </x:c>
      <x:c r="F29" s="26" t="str">
        <x:f>'Budget Control'!X7</x:f>
        <x:v>REVIEW</x:v>
      </x:c>
    </x:row>
    <x:row r="30" ht="15" hidden="0" customHeight="1">
      <x:c r="A30" s="26" t="str">
        <x:f>'Budget Control'!A8</x:f>
        <x:v>IT-002</x:v>
      </x:c>
      <x:c r="B30" s="26" t="str">
        <x:f>'Budget Control'!C8</x:f>
        <x:v>Cybersecurity Program</x:v>
      </x:c>
      <x:c r="C30" s="120" t="n">
        <x:f>'Budget Control'!U8</x:f>
        <x:v>604500000</x:v>
      </x:c>
      <x:c r="D30" s="120" t="n">
        <x:f>'Budget Control'!V8</x:f>
        <x:v>-45500000</x:v>
      </x:c>
      <x:c r="E30" s="122" t="n">
        <x:f>'Budget Control'!W8</x:f>
        <x:v>-0.07</x:v>
      </x:c>
      <x:c r="F30" s="26" t="str">
        <x:f>'Budget Control'!X8</x:f>
        <x:v>REVIEW</x:v>
      </x:c>
    </x:row>
    <x:row r="31" ht="15" hidden="0" customHeight="1">
      <x:c r="A31" s="26" t="str">
        <x:f>'Budget Control'!A9</x:f>
        <x:v>IT-003</x:v>
      </x:c>
      <x:c r="B31" s="26" t="str">
        <x:f>'Budget Control'!C9</x:f>
        <x:v>ERP Modernization</x:v>
      </x:c>
      <x:c r="C31" s="120" t="n">
        <x:f>'Budget Control'!U9</x:f>
        <x:v>1674000000</x:v>
      </x:c>
      <x:c r="D31" s="120" t="n">
        <x:f>'Budget Control'!V9</x:f>
        <x:v>-126000000</x:v>
      </x:c>
      <x:c r="E31" s="122" t="n">
        <x:f>'Budget Control'!W9</x:f>
        <x:v>-0.07</x:v>
      </x:c>
      <x:c r="F31" s="26" t="str">
        <x:f>'Budget Control'!X9</x:f>
        <x:v>REVIEW</x:v>
      </x:c>
    </x:row>
    <x:row r="32" ht="15" hidden="0" customHeight="1">
      <x:c r="A32" s="26" t="str">
        <x:f>'Budget Control'!A10</x:f>
        <x:v>IT-004</x:v>
      </x:c>
      <x:c r="B32" s="26" t="str">
        <x:f>'Budget Control'!C10</x:f>
        <x:v>End User Services</x:v>
      </x:c>
      <x:c r="C32" s="120" t="n">
        <x:f>'Budget Control'!U10</x:f>
        <x:v>446400000</x:v>
      </x:c>
      <x:c r="D32" s="120" t="n">
        <x:f>'Budget Control'!V10</x:f>
        <x:v>-33600000</x:v>
      </x:c>
      <x:c r="E32" s="122" t="n">
        <x:f>'Budget Control'!W10</x:f>
        <x:v>-0.07</x:v>
      </x:c>
      <x:c r="F32" s="26" t="str">
        <x:f>'Budget Control'!X10</x:f>
        <x:v>REVIEW</x:v>
      </x:c>
    </x:row>
    <x:row r="33" ht="15" hidden="0" customHeight="1">
      <x:c r="A33" s="26" t="str">
        <x:f>'Budget Control'!A11</x:f>
        <x:v>IT-005</x:v>
      </x:c>
      <x:c r="B33" s="26" t="str">
        <x:f>'Budget Control'!C11</x:f>
        <x:v>Data &amp; Analytics</x:v>
      </x:c>
      <x:c r="C33" s="120" t="n">
        <x:f>'Budget Control'!U11</x:f>
        <x:v>837000000</x:v>
      </x:c>
      <x:c r="D33" s="120" t="n">
        <x:f>'Budget Control'!V11</x:f>
        <x:v>-63000000</x:v>
      </x:c>
      <x:c r="E33" s="122" t="n">
        <x:f>'Budget Control'!W11</x:f>
        <x:v>-0.07</x:v>
      </x:c>
      <x:c r="F33" s="26" t="str">
        <x:f>'Budget Control'!X11</x:f>
        <x:v>REVIEW</x:v>
      </x:c>
    </x:row>
  </x:sheetData>
  <x:mergeCells>
    <x:mergeCell ref="A1:P1"/>
    <x:mergeCell ref="A2:P2"/>
    <x:mergeCell ref="A4:B4"/>
    <x:mergeCell ref="C4:D4"/>
    <x:mergeCell ref="E4:F4"/>
    <x:mergeCell ref="G4:H4"/>
    <x:mergeCell ref="I4:J4"/>
    <x:mergeCell ref="K4:L4"/>
    <x:mergeCell ref="A6:B8"/>
    <x:mergeCell ref="D6:E8"/>
    <x:mergeCell ref="G6:H8"/>
    <x:mergeCell ref="J6:K8"/>
    <x:mergeCell ref="M6:N8"/>
    <x:mergeCell ref="P6:Q8"/>
    <x:mergeCell ref="A27:P27"/>
  </x:mergeCells>
  <x:conditionalFormatting sqref="F29:F33">
    <x:cfRule type="containsText" dxfId="6" priority="1" operator="containsText" text="ESCALATE"/>
    <x:cfRule type="containsText" dxfId="7" priority="2" operator="containsText" text="REVIEW"/>
  </x:conditionalFormatting>
  <x:pageMargins left="0.7" right="0.7" top="0.75" bottom="0.75" header="0.3" footer="0.3"/>
  <x:drawing xmlns:r="http://schemas.openxmlformats.org/officeDocument/2006/relationships" r:id="Re83ebfe7349f4fdb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2" hidden="0" customWidth="1"/>
  </x:cols>
  <x:sheetData>
    <x:row r="1" ht="19.200000762939453" hidden="0" customHeight="1">
      <x:c r="A1" s="4" t="str">
        <x:v>IT Budget — Parameters &amp; Assumptions</x:v>
      </x:c>
      <x:c r="B1" s="4" t="str">
        <x:v>IT Budget — Parameters &amp; Assumptions</x:v>
      </x:c>
      <x:c r="C1" s="4" t="str">
        <x:v>IT Budget — Parameters &amp; Assumptions</x:v>
      </x:c>
      <x:c r="D1" s="4" t="str">
        <x:v>IT Budget — Parameters &amp; Assumptions</x:v>
      </x:c>
      <x:c r="E1" s="4" t="str">
        <x:v>IT Budget — Parameters &amp; Assumptions</x:v>
      </x:c>
      <x:c r="F1" s="4" t="str">
        <x:v>IT Budget — Parameters &amp; Assumptions</x:v>
      </x:c>
      <x:c r="G1" s="4" t="str">
        <x:v>IT Budget — Parameters &amp; Assumptions</x:v>
      </x:c>
      <x:c r="H1" s="4" t="str">
        <x:v>IT Budget — Parameters &amp; Assumptions</x:v>
      </x:c>
    </x:row>
    <x:row r="2" ht="15" hidden="0" customHeight="1">
      <x:c r="A2" s="7" t="str">
        <x:v>Yellow cells are editable inputs. All amounts are in IDR unless stated otherwise.</x:v>
      </x:c>
      <x:c r="B2" s="7" t="str">
        <x:v>Yellow cells are editable inputs. All amounts are in IDR unless stated otherwise.</x:v>
      </x:c>
      <x:c r="C2" s="7" t="str">
        <x:v>Yellow cells are editable inputs. All amounts are in IDR unless stated otherwise.</x:v>
      </x:c>
      <x:c r="D2" s="7" t="str">
        <x:v>Yellow cells are editable inputs. All amounts are in IDR unless stated otherwise.</x:v>
      </x:c>
      <x:c r="E2" s="7" t="str">
        <x:v>Yellow cells are editable inputs. All amounts are in IDR unless stated otherwise.</x:v>
      </x:c>
      <x:c r="F2" s="7" t="str">
        <x:v>Yellow cells are editable inputs. All amounts are in IDR unless stated otherwise.</x:v>
      </x:c>
      <x:c r="G2" s="7" t="str">
        <x:v>Yellow cells are editable inputs. All amounts are in IDR unless stated otherwise.</x:v>
      </x:c>
      <x:c r="H2" s="7" t="str">
        <x:v>Yellow cells are editable inputs. All amounts are in IDR unless stated otherwise.</x:v>
      </x:c>
      <x:c r="I2" s="7" t="str">
        <x:v>Yellow cells are editable inputs. All amounts are in IDR unless stated otherwise.</x:v>
      </x:c>
      <x:c r="J2" s="7" t="str">
        <x:v>Yellow cells are editable inputs. All amounts are in IDR unless stated otherwise.</x:v>
      </x:c>
      <x:c r="K2" s="7" t="str">
        <x:v>Yellow cells are editable inputs. All amounts are in IDR unless stated otherwise.</x:v>
      </x:c>
      <x:c r="L2" s="7" t="str">
        <x:v>Yellow cells are editable inputs. All amounts are in IDR unless stated otherwise.</x:v>
      </x:c>
      <x:c r="M2" s="7" t="str">
        <x:v>Yellow cells are editable inputs. All amounts are in IDR unless stated otherwise.</x:v>
      </x:c>
      <x:c r="N2" s="7" t="str">
        <x:v>Yellow cells are editable inputs. All amounts are in IDR unless stated otherwise.</x:v>
      </x:c>
      <x:c r="O2" s="7" t="str">
        <x:v>Yellow cells are editable inputs. All amounts are in IDR unless stated otherwise.</x:v>
      </x:c>
      <x:c r="P2" s="7" t="str">
        <x:v>Yellow cells are editable inputs. All amounts are in IDR unless stated otherwise.</x:v>
      </x:c>
    </x:row>
    <x:row r="3"/>
    <x:row r="4" ht="15" hidden="0" customHeight="1">
      <x:c r="A4" s="10" t="str">
        <x:v>Budget governance parameters</x:v>
      </x:c>
      <x:c r="B4" s="10" t="str">
        <x:v>Budget governance parameters</x:v>
      </x:c>
      <x:c r="C4" s="10" t="str">
        <x:v>Budget governance parameters</x:v>
      </x:c>
      <x:c r="D4" s="10" t="str">
        <x:v>Budget governance parameters</x:v>
      </x:c>
      <x:c r="F4" s="10" t="str">
        <x:v>Monthly phasing / allocation profile</x:v>
      </x:c>
      <x:c r="G4" s="10" t="str">
        <x:v>Monthly phasing / allocation profile</x:v>
      </x:c>
      <x:c r="H4" s="10" t="str">
        <x:v>Monthly phasing / allocation profile</x:v>
      </x:c>
      <x:c r="I4" s="10" t="str">
        <x:v>Monthly phasing / allocation profile</x:v>
      </x:c>
      <x:c r="J4" s="10" t="str">
        <x:v>Monthly phasing / allocation profile</x:v>
      </x:c>
      <x:c r="K4" s="10" t="str">
        <x:v>Monthly phasing / allocation profile</x:v>
      </x:c>
      <x:c r="L4" s="10" t="str">
        <x:v>Monthly phasing / allocation profile</x:v>
      </x:c>
      <x:c r="M4" s="10" t="str">
        <x:v>Monthly phasing / allocation profile</x:v>
      </x:c>
      <x:c r="N4" s="10" t="str">
        <x:v>Monthly phasing / allocation profile</x:v>
      </x:c>
      <x:c r="O4" s="10" t="str">
        <x:v>Monthly phasing / allocation profile</x:v>
      </x:c>
      <x:c r="P4" s="10" t="str">
        <x:v>Monthly phasing / allocation profile</x:v>
      </x:c>
      <x:c r="Q4" s="10" t="str">
        <x:v>Monthly phasing / allocation profile</x:v>
      </x:c>
    </x:row>
    <x:row r="5" ht="15" hidden="0" customHeight="1">
      <x:c r="A5" s="13" t="str">
        <x:v>Fiscal Year</x:v>
      </x:c>
      <x:c r="B5" s="16" t="n">
        <x:v>2027</x:v>
      </x:c>
      <x:c r="F5" s="22" t="str">
        <x:v>Jan</x:v>
      </x:c>
      <x:c r="G5" s="22" t="str">
        <x:v>Feb</x:v>
      </x:c>
      <x:c r="H5" s="22" t="str">
        <x:v>Mar</x:v>
      </x:c>
      <x:c r="I5" s="22" t="str">
        <x:v>Apr</x:v>
      </x:c>
      <x:c r="J5" s="22" t="str">
        <x:v>May</x:v>
      </x:c>
      <x:c r="K5" s="22" t="str">
        <x:v>Jun</x:v>
      </x:c>
      <x:c r="L5" s="22" t="str">
        <x:v>Jul</x:v>
      </x:c>
      <x:c r="M5" s="22" t="str">
        <x:v>Aug</x:v>
      </x:c>
      <x:c r="N5" s="22" t="str">
        <x:v>Sep</x:v>
      </x:c>
      <x:c r="O5" s="22" t="str">
        <x:v>Oct</x:v>
      </x:c>
      <x:c r="P5" s="22" t="str">
        <x:v>Nov</x:v>
      </x:c>
      <x:c r="Q5" s="22" t="str">
        <x:v>Dec</x:v>
      </x:c>
    </x:row>
    <x:row r="6" ht="15" hidden="0" customHeight="1">
      <x:c r="A6" s="13" t="str">
        <x:v>Reporting Month (1-12)</x:v>
      </x:c>
      <x:c r="B6" s="16" t="n">
        <x:v>1</x:v>
      </x:c>
      <x:c r="F6" s="17" t="n">
        <x:v>0.07</x:v>
      </x:c>
      <x:c r="G6" s="17" t="n">
        <x:v>0.07</x:v>
      </x:c>
      <x:c r="H6" s="17" t="n">
        <x:v>0.08</x:v>
      </x:c>
      <x:c r="I6" s="17" t="n">
        <x:v>0.08</x:v>
      </x:c>
      <x:c r="J6" s="17" t="n">
        <x:v>0.08</x:v>
      </x:c>
      <x:c r="K6" s="17" t="n">
        <x:v>0.08</x:v>
      </x:c>
      <x:c r="L6" s="17" t="n">
        <x:v>0.09</x:v>
      </x:c>
      <x:c r="M6" s="17" t="n">
        <x:v>0.09</x:v>
      </x:c>
      <x:c r="N6" s="17" t="n">
        <x:v>0.08</x:v>
      </x:c>
      <x:c r="O6" s="17" t="n">
        <x:v>0.09</x:v>
      </x:c>
      <x:c r="P6" s="17" t="n">
        <x:v>0.09</x:v>
      </x:c>
      <x:c r="Q6" s="17" t="n">
        <x:v>0.1</x:v>
      </x:c>
    </x:row>
    <x:row r="7" ht="15" hidden="0" customHeight="1">
      <x:c r="A7" s="13" t="str">
        <x:v>Budget Version</x:v>
      </x:c>
      <x:c r="B7" s="16" t="str">
        <x:v>Working Budget v1.0</x:v>
      </x:c>
      <x:c r="F7" s="24" t="str">
        <x:v>Phasing control (must equal 100%)</x:v>
      </x:c>
      <x:c r="G7" s="24" t="str">
        <x:v>Phasing control (must equal 100%)</x:v>
      </x:c>
      <x:c r="H7" s="24" t="str">
        <x:v>Phasing control (must equal 100%)</x:v>
      </x:c>
      <x:c r="I7" s="24" t="str">
        <x:v>Phasing control (must equal 100%)</x:v>
      </x:c>
      <x:c r="J7" s="24" t="str">
        <x:v>Phasing control (must equal 100%)</x:v>
      </x:c>
      <x:c r="K7" s="24" t="str">
        <x:v>Phasing control (must equal 100%)</x:v>
      </x:c>
      <x:c r="L7" s="24" t="str">
        <x:v>Phasing control (must equal 100%)</x:v>
      </x:c>
      <x:c r="M7" s="24" t="str">
        <x:v>Phasing control (must equal 100%)</x:v>
      </x:c>
      <x:c r="N7" s="24" t="str">
        <x:v>Phasing control (must equal 100%)</x:v>
      </x:c>
      <x:c r="O7" s="24" t="str">
        <x:v>Phasing control (must equal 100%)</x:v>
      </x:c>
      <x:c r="P7" s="24" t="str">
        <x:v>Phasing control (must equal 100%)</x:v>
      </x:c>
      <x:c r="Q7" s="25" t="n">
        <x:f>ROUND(SUM(F6:Q6),6)</x:f>
        <x:v>1</x:v>
      </x:c>
    </x:row>
    <x:row r="8" ht="15" hidden="0" customHeight="1">
      <x:c r="A8" s="13" t="str">
        <x:v>Scenario</x:v>
      </x:c>
      <x:c r="B8" s="16" t="str">
        <x:v>Base</x:v>
      </x:c>
    </x:row>
    <x:row r="9" ht="15" hidden="0" customHeight="1">
      <x:c r="A9" s="13" t="str">
        <x:v>Currency</x:v>
      </x:c>
      <x:c r="B9" s="16" t="str">
        <x:v>IDR</x:v>
      </x:c>
    </x:row>
    <x:row r="10" ht="15" hidden="0" customHeight="1">
      <x:c r="A10" s="13" t="str">
        <x:v>Budget Owner</x:v>
      </x:c>
      <x:c r="B10" s="16" t="str">
        <x:v>Head of IT Finance</x:v>
      </x:c>
    </x:row>
    <x:row r="11" ht="15" hidden="0" customHeight="1">
      <x:c r="A11" s="13" t="str">
        <x:v>Review tolerance</x:v>
      </x:c>
      <x:c r="B11" s="17" t="n">
        <x:v>0.05</x:v>
      </x:c>
    </x:row>
    <x:row r="12" ht="15" hidden="0" customHeight="1">
      <x:c r="A12" s="13" t="str">
        <x:v>Escalation tolerance</x:v>
      </x:c>
      <x:c r="B12" s="17" t="n">
        <x:v>0.1</x:v>
      </x:c>
    </x:row>
    <x:row r="13"/>
    <x:row r="14"/>
    <x:row r="15" ht="15" hidden="0" customHeight="1">
      <x:c r="A15" s="10" t="str">
        <x:v>Corporate design conventions</x:v>
      </x:c>
      <x:c r="B15" s="10" t="str">
        <x:v>Corporate design conventions</x:v>
      </x:c>
      <x:c r="C15" s="10" t="str">
        <x:v>Corporate design conventions</x:v>
      </x:c>
      <x:c r="D15" s="10" t="str">
        <x:v>Corporate design conventions</x:v>
      </x:c>
      <x:c r="E15" s="10" t="str">
        <x:v>Corporate design conventions</x:v>
      </x:c>
      <x:c r="F15" s="10" t="str">
        <x:v>Corporate design conventions</x:v>
      </x:c>
      <x:c r="G15" s="10" t="str">
        <x:v>Corporate design conventions</x:v>
      </x:c>
      <x:c r="H15" s="10" t="str">
        <x:v>Corporate design conventions</x:v>
      </x:c>
    </x:row>
    <x:row r="16" ht="15" hidden="0" customHeight="1">
      <x:c r="A16" s="13" t="str">
        <x:v>Cost classification</x:v>
      </x:c>
      <x:c r="B16" s="27" t="str">
        <x:v>Run / Change / Transform</x:v>
      </x:c>
    </x:row>
    <x:row r="17" ht="15" hidden="0" customHeight="1">
      <x:c r="A17" s="13" t="str">
        <x:v>Capitalization view</x:v>
      </x:c>
      <x:c r="B17" s="27" t="str">
        <x:v>CapEx / OpEx</x:v>
      </x:c>
    </x:row>
    <x:row r="18" ht="15" hidden="0" customHeight="1">
      <x:c r="A18" s="13" t="str">
        <x:v>Variance convention</x:v>
      </x:c>
      <x:c r="B18" s="27" t="str">
        <x:v>Positive variance = overspend</x:v>
      </x:c>
    </x:row>
    <x:row r="19" ht="15" hidden="0" customHeight="1">
      <x:c r="A19" s="13" t="str">
        <x:v>Control cadence</x:v>
      </x:c>
      <x:c r="B19" s="27" t="str">
        <x:v>Monthly close; quarterly reforecast</x:v>
      </x:c>
    </x:row>
    <x:row r="20" ht="26.399999618530273" hidden="0" customHeight="1">
      <x:c r="A20" s="13" t="str">
        <x:v>Approval gates</x:v>
      </x:c>
      <x:c r="B20" s="27" t="str">
        <x:v>Owner → IT Finance → CIO → CFO (as applicable)</x:v>
      </x:c>
    </x:row>
  </x:sheetData>
  <x:mergeCells>
    <x:mergeCell ref="A1:H1"/>
    <x:mergeCell ref="A2:P2"/>
    <x:mergeCell ref="A4:D4"/>
    <x:mergeCell ref="F4:Q4"/>
    <x:mergeCell ref="F7:P7"/>
    <x:mergeCell ref="A15:H15"/>
  </x:mergeCells>
  <x:dataValidations count="2">
    <x:dataValidation type="whole" operator="between" sqref="B6">
      <x:formula1>1</x:formula1>
      <x:formula2>12</x:formula2>
    </x:dataValidation>
    <x:dataValidation type="list" sqref="B8">
      <x:formula1>"Base,Upside,Downside"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2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19.200000762939453" hidden="0" customHeight="1">
      <x:c r="A1" s="4" t="str">
        <x:v>IT Budget — Annual Plan &amp; Monthly Allocation</x:v>
      </x:c>
      <x:c r="B1" s="4" t="str">
        <x:v>IT Budget — Annual Plan &amp; Monthly Allocation</x:v>
      </x:c>
      <x:c r="C1" s="4" t="str">
        <x:v>IT Budget — Annual Plan &amp; Monthly Allocation</x:v>
      </x:c>
      <x:c r="D1" s="4" t="str">
        <x:v>IT Budget — Annual Plan &amp; Monthly Allocation</x:v>
      </x:c>
      <x:c r="E1" s="4" t="str">
        <x:v>IT Budget — Annual Plan &amp; Monthly Allocation</x:v>
      </x:c>
      <x:c r="F1" s="4" t="str">
        <x:v>IT Budget — Annual Plan &amp; Monthly Allocation</x:v>
      </x:c>
      <x:c r="G1" s="4" t="str">
        <x:v>IT Budget — Annual Plan &amp; Monthly Allocation</x:v>
      </x:c>
      <x:c r="H1" s="4" t="str">
        <x:v>IT Budget — Annual Plan &amp; Monthly Allocation</x:v>
      </x:c>
      <x:c r="I1" s="4" t="str">
        <x:v>IT Budget — Annual Plan &amp; Monthly Allocation</x:v>
      </x:c>
      <x:c r="J1" s="4" t="str">
        <x:v>IT Budget — Annual Plan &amp; Monthly Allocation</x:v>
      </x:c>
      <x:c r="K1" s="4" t="str">
        <x:v>IT Budget — Annual Plan &amp; Monthly Allocation</x:v>
      </x:c>
      <x:c r="L1" s="4" t="str">
        <x:v>IT Budget — Annual Plan &amp; Monthly Allocation</x:v>
      </x:c>
      <x:c r="M1" s="4" t="str">
        <x:v>IT Budget — Annual Plan &amp; Monthly Allocation</x:v>
      </x:c>
      <x:c r="N1" s="4" t="str">
        <x:v>IT Budget — Annual Plan &amp; Monthly Allocation</x:v>
      </x:c>
      <x:c r="O1" s="4" t="str">
        <x:v>IT Budget — Annual Plan &amp; Monthly Allocation</x:v>
      </x:c>
      <x:c r="P1" s="4" t="str">
        <x:v>IT Budget — Annual Plan &amp; Monthly Allocation</x:v>
      </x:c>
      <x:c r="Q1" s="4" t="str">
        <x:v>IT Budget — Annual Plan &amp; Monthly Allocation</x:v>
      </x:c>
      <x:c r="R1" s="4" t="str">
        <x:v>IT Budget — Annual Plan &amp; Monthly Allocation</x:v>
      </x:c>
      <x:c r="S1" s="4" t="str">
        <x:v>IT Budget — Annual Plan &amp; Monthly Allocation</x:v>
      </x:c>
      <x:c r="T1" s="4" t="str">
        <x:v>IT Budget — Annual Plan &amp; Monthly Allocation</x:v>
      </x:c>
      <x:c r="U1" s="4" t="str">
        <x:v>IT Budget — Annual Plan &amp; Monthly Allocation</x:v>
      </x:c>
      <x:c r="V1" s="4" t="str">
        <x:v>IT Budget — Annual Plan &amp; Monthly Allocation</x:v>
      </x:c>
    </x:row>
    <x:row r="2" ht="15" hidden="0" customHeight="1">
      <x:c r="A2" s="7" t="str">
        <x:v>Create one row per budget line. Complete the yellow annual budget input; monthly phasing is formula-driven from Assumptions.</x:v>
      </x:c>
      <x:c r="B2" s="7" t="str">
        <x:v>Create one row per budget line. Complete the yellow annual budget input; monthly phasing is formula-driven from Assumptions.</x:v>
      </x:c>
      <x:c r="C2" s="7" t="str">
        <x:v>Create one row per budget line. Complete the yellow annual budget input; monthly phasing is formula-driven from Assumptions.</x:v>
      </x:c>
      <x:c r="D2" s="7" t="str">
        <x:v>Create one row per budget line. Complete the yellow annual budget input; monthly phasing is formula-driven from Assumptions.</x:v>
      </x:c>
      <x:c r="E2" s="7" t="str">
        <x:v>Create one row per budget line. Complete the yellow annual budget input; monthly phasing is formula-driven from Assumptions.</x:v>
      </x:c>
      <x:c r="F2" s="7" t="str">
        <x:v>Create one row per budget line. Complete the yellow annual budget input; monthly phasing is formula-driven from Assumptions.</x:v>
      </x:c>
      <x:c r="G2" s="7" t="str">
        <x:v>Create one row per budget line. Complete the yellow annual budget input; monthly phasing is formula-driven from Assumptions.</x:v>
      </x:c>
      <x:c r="H2" s="7" t="str">
        <x:v>Create one row per budget line. Complete the yellow annual budget input; monthly phasing is formula-driven from Assumptions.</x:v>
      </x:c>
      <x:c r="I2" s="7" t="str">
        <x:v>Create one row per budget line. Complete the yellow annual budget input; monthly phasing is formula-driven from Assumptions.</x:v>
      </x:c>
      <x:c r="J2" s="7" t="str">
        <x:v>Create one row per budget line. Complete the yellow annual budget input; monthly phasing is formula-driven from Assumptions.</x:v>
      </x:c>
      <x:c r="K2" s="7" t="str">
        <x:v>Create one row per budget line. Complete the yellow annual budget input; monthly phasing is formula-driven from Assumptions.</x:v>
      </x:c>
      <x:c r="L2" s="7" t="str">
        <x:v>Create one row per budget line. Complete the yellow annual budget input; monthly phasing is formula-driven from Assumptions.</x:v>
      </x:c>
      <x:c r="M2" s="7" t="str">
        <x:v>Create one row per budget line. Complete the yellow annual budget input; monthly phasing is formula-driven from Assumptions.</x:v>
      </x:c>
      <x:c r="N2" s="7" t="str">
        <x:v>Create one row per budget line. Complete the yellow annual budget input; monthly phasing is formula-driven from Assumptions.</x:v>
      </x:c>
      <x:c r="O2" s="7" t="str">
        <x:v>Create one row per budget line. Complete the yellow annual budget input; monthly phasing is formula-driven from Assumptions.</x:v>
      </x:c>
      <x:c r="P2" s="7" t="str">
        <x:v>Create one row per budget line. Complete the yellow annual budget input; monthly phasing is formula-driven from Assumptions.</x:v>
      </x:c>
    </x:row>
    <x:row r="3"/>
    <x:row r="4" ht="15" hidden="0" customHeight="1">
      <x:c r="A4" s="30" t="str">
        <x:v>Input standard: each line must have a unique Budget ID, accountable owner, category, and approved annual amount. Monthly plan follows the corporate phasing profile unless overridden.</x:v>
      </x:c>
      <x:c r="B4" s="30" t="str">
        <x:v>Input standard: each line must have a unique Budget ID, accountable owner, category, and approved annual amount. Monthly plan follows the corporate phasing profile unless overridden.</x:v>
      </x:c>
      <x:c r="C4" s="30" t="str">
        <x:v>Input standard: each line must have a unique Budget ID, accountable owner, category, and approved annual amount. Monthly plan follows the corporate phasing profile unless overridden.</x:v>
      </x:c>
      <x:c r="D4" s="30" t="str">
        <x:v>Input standard: each line must have a unique Budget ID, accountable owner, category, and approved annual amount. Monthly plan follows the corporate phasing profile unless overridden.</x:v>
      </x:c>
      <x:c r="E4" s="30" t="str">
        <x:v>Input standard: each line must have a unique Budget ID, accountable owner, category, and approved annual amount. Monthly plan follows the corporate phasing profile unless overridden.</x:v>
      </x:c>
      <x:c r="F4" s="30" t="str">
        <x:v>Input standard: each line must have a unique Budget ID, accountable owner, category, and approved annual amount. Monthly plan follows the corporate phasing profile unless overridden.</x:v>
      </x:c>
      <x:c r="G4" s="30" t="str">
        <x:v>Input standard: each line must have a unique Budget ID, accountable owner, category, and approved annual amount. Monthly plan follows the corporate phasing profile unless overridden.</x:v>
      </x:c>
      <x:c r="H4" s="30" t="str">
        <x:v>Input standard: each line must have a unique Budget ID, accountable owner, category, and approved annual amount. Monthly plan follows the corporate phasing profile unless overridden.</x:v>
      </x:c>
      <x:c r="I4" s="30" t="str">
        <x:v>Input standard: each line must have a unique Budget ID, accountable owner, category, and approved annual amount. Monthly plan follows the corporate phasing profile unless overridden.</x:v>
      </x:c>
      <x:c r="J4" s="30" t="str">
        <x:v>Input standard: each line must have a unique Budget ID, accountable owner, category, and approved annual amount. Monthly plan follows the corporate phasing profile unless overridden.</x:v>
      </x:c>
      <x:c r="K4" s="30" t="str">
        <x:v>Input standard: each line must have a unique Budget ID, accountable owner, category, and approved annual amount. Monthly plan follows the corporate phasing profile unless overridden.</x:v>
      </x:c>
      <x:c r="L4" s="30" t="str">
        <x:v>Input standard: each line must have a unique Budget ID, accountable owner, category, and approved annual amount. Monthly plan follows the corporate phasing profile unless overridden.</x:v>
      </x:c>
      <x:c r="M4" s="30" t="str">
        <x:v>Input standard: each line must have a unique Budget ID, accountable owner, category, and approved annual amount. Monthly plan follows the corporate phasing profile unless overridden.</x:v>
      </x:c>
      <x:c r="N4" s="30" t="str">
        <x:v>Input standard: each line must have a unique Budget ID, accountable owner, category, and approved annual amount. Monthly plan follows the corporate phasing profile unless overridden.</x:v>
      </x:c>
      <x:c r="O4" s="30" t="str">
        <x:v>Input standard: each line must have a unique Budget ID, accountable owner, category, and approved annual amount. Monthly plan follows the corporate phasing profile unless overridden.</x:v>
      </x:c>
      <x:c r="P4" s="30" t="str">
        <x:v>Input standard: each line must have a unique Budget ID, accountable owner, category, and approved annual amount. Monthly plan follows the corporate phasing profile unless overridden.</x:v>
      </x:c>
      <x:c r="Q4" s="30" t="str">
        <x:v>Input standard: each line must have a unique Budget ID, accountable owner, category, and approved annual amount. Monthly plan follows the corporate phasing profile unless overridden.</x:v>
      </x:c>
      <x:c r="R4" s="30" t="str">
        <x:v>Input standard: each line must have a unique Budget ID, accountable owner, category, and approved annual amount. Monthly plan follows the corporate phasing profile unless overridden.</x:v>
      </x:c>
      <x:c r="S4" s="30" t="str">
        <x:v>Input standard: each line must have a unique Budget ID, accountable owner, category, and approved annual amount. Monthly plan follows the corporate phasing profile unless overridden.</x:v>
      </x:c>
      <x:c r="T4" s="30" t="str">
        <x:v>Input standard: each line must have a unique Budget ID, accountable owner, category, and approved annual amount. Monthly plan follows the corporate phasing profile unless overridden.</x:v>
      </x:c>
      <x:c r="U4" s="30" t="str">
        <x:v>Input standard: each line must have a unique Budget ID, accountable owner, category, and approved annual amount. Monthly plan follows the corporate phasing profile unless overridden.</x:v>
      </x:c>
      <x:c r="V4" s="30" t="str">
        <x:v>Input standard: each line must have a unique Budget ID, accountable owner, category, and approved annual amount. Monthly plan follows the corporate phasing profile unless overridden.</x:v>
      </x:c>
    </x:row>
    <x:row r="5"/>
    <x:row r="6" ht="26.399999618530273" hidden="0" customHeight="1">
      <x:c r="A6" s="22" t="str">
        <x:v>Budget ID</x:v>
      </x:c>
      <x:c r="B6" s="22" t="str">
        <x:v>Business Unit</x:v>
      </x:c>
      <x:c r="C6" s="22" t="str">
        <x:v>Cost Center</x:v>
      </x:c>
      <x:c r="D6" s="22" t="str">
        <x:v>Service / Initiative</x:v>
      </x:c>
      <x:c r="E6" s="22" t="str">
        <x:v>COBIT Driver</x:v>
      </x:c>
      <x:c r="F6" s="22" t="str">
        <x:v>Spend Type</x:v>
      </x:c>
      <x:c r="G6" s="22" t="str">
        <x:v>Run / Change</x:v>
      </x:c>
      <x:c r="H6" s="22" t="str">
        <x:v>Cost Category</x:v>
      </x:c>
      <x:c r="I6" s="22" t="str">
        <x:v>Accountable Owner</x:v>
      </x:c>
      <x:c r="J6" s="22" t="str">
        <x:v>Approved Annual Budget</x:v>
      </x:c>
      <x:c r="K6" s="22" t="str">
        <x:v>Jan</x:v>
      </x:c>
      <x:c r="L6" s="22" t="str">
        <x:v>Feb</x:v>
      </x:c>
      <x:c r="M6" s="22" t="str">
        <x:v>Mar</x:v>
      </x:c>
      <x:c r="N6" s="22" t="str">
        <x:v>Apr</x:v>
      </x:c>
      <x:c r="O6" s="22" t="str">
        <x:v>May</x:v>
      </x:c>
      <x:c r="P6" s="22" t="str">
        <x:v>Jun</x:v>
      </x:c>
      <x:c r="Q6" s="22" t="str">
        <x:v>Jul</x:v>
      </x:c>
      <x:c r="R6" s="22" t="str">
        <x:v>Aug</x:v>
      </x:c>
      <x:c r="S6" s="22" t="str">
        <x:v>Sep</x:v>
      </x:c>
      <x:c r="T6" s="22" t="str">
        <x:v>Oct</x:v>
      </x:c>
      <x:c r="U6" s="22" t="str">
        <x:v>Nov</x:v>
      </x:c>
      <x:c r="V6" s="22" t="str">
        <x:v>Dec</x:v>
      </x:c>
    </x:row>
    <x:row r="7" ht="15" hidden="0" customHeight="1">
      <x:c r="A7" s="16" t="str">
        <x:v>IT-001</x:v>
      </x:c>
      <x:c r="B7" s="16" t="str">
        <x:v>Corporate IT</x:v>
      </x:c>
      <x:c r="C7" s="16" t="str">
        <x:v>CC-IT-100</x:v>
      </x:c>
      <x:c r="D7" s="16" t="str">
        <x:v>Cloud Infrastructure</x:v>
      </x:c>
      <x:c r="E7" s="16" t="str">
        <x:v>APO06</x:v>
      </x:c>
      <x:c r="F7" s="16" t="str">
        <x:v>OpEx</x:v>
      </x:c>
      <x:c r="G7" s="16" t="str">
        <x:v>Run</x:v>
      </x:c>
      <x:c r="H7" s="16" t="str">
        <x:v>Cloud / Hosting</x:v>
      </x:c>
      <x:c r="I7" s="16" t="str">
        <x:v>Infrastructure Manager</x:v>
      </x:c>
      <x:c r="J7" s="31" t="n">
        <x:v>1200000000</x:v>
      </x:c>
      <x:c r="K7" s="32" t="n">
        <x:f>IF($A7="","",ROUND($J7*'Assumptions'!F$6,0))</x:f>
        <x:v>84000000</x:v>
      </x:c>
      <x:c r="L7" s="32" t="n">
        <x:f>IF($A7="","",ROUND($J7*'Assumptions'!G$6,0))</x:f>
        <x:v>84000000</x:v>
      </x:c>
      <x:c r="M7" s="32" t="n">
        <x:f>IF($A7="","",ROUND($J7*'Assumptions'!H$6,0))</x:f>
        <x:v>96000000</x:v>
      </x:c>
      <x:c r="N7" s="32" t="n">
        <x:f>IF($A7="","",ROUND($J7*'Assumptions'!I$6,0))</x:f>
        <x:v>96000000</x:v>
      </x:c>
      <x:c r="O7" s="32" t="n">
        <x:f>IF($A7="","",ROUND($J7*'Assumptions'!J$6,0))</x:f>
        <x:v>96000000</x:v>
      </x:c>
      <x:c r="P7" s="32" t="n">
        <x:f>IF($A7="","",ROUND($J7*'Assumptions'!K$6,0))</x:f>
        <x:v>96000000</x:v>
      </x:c>
      <x:c r="Q7" s="32" t="n">
        <x:f>IF($A7="","",ROUND($J7*'Assumptions'!L$6,0))</x:f>
        <x:v>108000000</x:v>
      </x:c>
      <x:c r="R7" s="32" t="n">
        <x:f>IF($A7="","",ROUND($J7*'Assumptions'!M$6,0))</x:f>
        <x:v>108000000</x:v>
      </x:c>
      <x:c r="S7" s="32" t="n">
        <x:f>IF($A7="","",ROUND($J7*'Assumptions'!N$6,0))</x:f>
        <x:v>96000000</x:v>
      </x:c>
      <x:c r="T7" s="32" t="n">
        <x:f>IF($A7="","",ROUND($J7*'Assumptions'!O$6,0))</x:f>
        <x:v>108000000</x:v>
      </x:c>
      <x:c r="U7" s="32" t="n">
        <x:f>IF($A7="","",ROUND($J7*'Assumptions'!P$6,0))</x:f>
        <x:v>108000000</x:v>
      </x:c>
      <x:c r="V7" s="32" t="n">
        <x:f>IF($A7="","",ROUND($J7*'Assumptions'!Q$6,0))</x:f>
        <x:v>120000000</x:v>
      </x:c>
    </x:row>
    <x:row r="8" ht="15" hidden="0" customHeight="1">
      <x:c r="A8" s="16" t="str">
        <x:v>IT-002</x:v>
      </x:c>
      <x:c r="B8" s="16" t="str">
        <x:v>Corporate IT</x:v>
      </x:c>
      <x:c r="C8" s="16" t="str">
        <x:v>CC-IT-200</x:v>
      </x:c>
      <x:c r="D8" s="16" t="str">
        <x:v>Cybersecurity Program</x:v>
      </x:c>
      <x:c r="E8" s="16" t="str">
        <x:v>APO06</x:v>
      </x:c>
      <x:c r="F8" s="16" t="str">
        <x:v>OpEx</x:v>
      </x:c>
      <x:c r="G8" s="16" t="str">
        <x:v>Change</x:v>
      </x:c>
      <x:c r="H8" s="16" t="str">
        <x:v>Security</x:v>
      </x:c>
      <x:c r="I8" s="16" t="str">
        <x:v>CISO</x:v>
      </x:c>
      <x:c r="J8" s="31" t="n">
        <x:v>650000000</x:v>
      </x:c>
      <x:c r="K8" s="32" t="n">
        <x:f>IF($A8="","",ROUND($J8*'Assumptions'!F$6,0))</x:f>
        <x:v>45500000</x:v>
      </x:c>
      <x:c r="L8" s="32" t="n">
        <x:f>IF($A8="","",ROUND($J8*'Assumptions'!G$6,0))</x:f>
        <x:v>45500000</x:v>
      </x:c>
      <x:c r="M8" s="32" t="n">
        <x:f>IF($A8="","",ROUND($J8*'Assumptions'!H$6,0))</x:f>
        <x:v>52000000</x:v>
      </x:c>
      <x:c r="N8" s="32" t="n">
        <x:f>IF($A8="","",ROUND($J8*'Assumptions'!I$6,0))</x:f>
        <x:v>52000000</x:v>
      </x:c>
      <x:c r="O8" s="32" t="n">
        <x:f>IF($A8="","",ROUND($J8*'Assumptions'!J$6,0))</x:f>
        <x:v>52000000</x:v>
      </x:c>
      <x:c r="P8" s="32" t="n">
        <x:f>IF($A8="","",ROUND($J8*'Assumptions'!K$6,0))</x:f>
        <x:v>52000000</x:v>
      </x:c>
      <x:c r="Q8" s="32" t="n">
        <x:f>IF($A8="","",ROUND($J8*'Assumptions'!L$6,0))</x:f>
        <x:v>58500000</x:v>
      </x:c>
      <x:c r="R8" s="32" t="n">
        <x:f>IF($A8="","",ROUND($J8*'Assumptions'!M$6,0))</x:f>
        <x:v>58500000</x:v>
      </x:c>
      <x:c r="S8" s="32" t="n">
        <x:f>IF($A8="","",ROUND($J8*'Assumptions'!N$6,0))</x:f>
        <x:v>52000000</x:v>
      </x:c>
      <x:c r="T8" s="32" t="n">
        <x:f>IF($A8="","",ROUND($J8*'Assumptions'!O$6,0))</x:f>
        <x:v>58500000</x:v>
      </x:c>
      <x:c r="U8" s="32" t="n">
        <x:f>IF($A8="","",ROUND($J8*'Assumptions'!P$6,0))</x:f>
        <x:v>58500000</x:v>
      </x:c>
      <x:c r="V8" s="32" t="n">
        <x:f>IF($A8="","",ROUND($J8*'Assumptions'!Q$6,0))</x:f>
        <x:v>65000000</x:v>
      </x:c>
    </x:row>
    <x:row r="9" ht="15" hidden="0" customHeight="1">
      <x:c r="A9" s="16" t="str">
        <x:v>IT-003</x:v>
      </x:c>
      <x:c r="B9" s="16" t="str">
        <x:v>Digital</x:v>
      </x:c>
      <x:c r="C9" s="16" t="str">
        <x:v>CC-DIG-100</x:v>
      </x:c>
      <x:c r="D9" s="16" t="str">
        <x:v>ERP Modernization</x:v>
      </x:c>
      <x:c r="E9" s="16" t="str">
        <x:v>APO06</x:v>
      </x:c>
      <x:c r="F9" s="16" t="str">
        <x:v>CapEx</x:v>
      </x:c>
      <x:c r="G9" s="16" t="str">
        <x:v>Transform</x:v>
      </x:c>
      <x:c r="H9" s="16" t="str">
        <x:v>Applications</x:v>
      </x:c>
      <x:c r="I9" s="16" t="str">
        <x:v>CIO</x:v>
      </x:c>
      <x:c r="J9" s="31" t="n">
        <x:v>1800000000</x:v>
      </x:c>
      <x:c r="K9" s="32" t="n">
        <x:f>IF($A9="","",ROUND($J9*'Assumptions'!F$6,0))</x:f>
        <x:v>126000000</x:v>
      </x:c>
      <x:c r="L9" s="32" t="n">
        <x:f>IF($A9="","",ROUND($J9*'Assumptions'!G$6,0))</x:f>
        <x:v>126000000</x:v>
      </x:c>
      <x:c r="M9" s="32" t="n">
        <x:f>IF($A9="","",ROUND($J9*'Assumptions'!H$6,0))</x:f>
        <x:v>144000000</x:v>
      </x:c>
      <x:c r="N9" s="32" t="n">
        <x:f>IF($A9="","",ROUND($J9*'Assumptions'!I$6,0))</x:f>
        <x:v>144000000</x:v>
      </x:c>
      <x:c r="O9" s="32" t="n">
        <x:f>IF($A9="","",ROUND($J9*'Assumptions'!J$6,0))</x:f>
        <x:v>144000000</x:v>
      </x:c>
      <x:c r="P9" s="32" t="n">
        <x:f>IF($A9="","",ROUND($J9*'Assumptions'!K$6,0))</x:f>
        <x:v>144000000</x:v>
      </x:c>
      <x:c r="Q9" s="32" t="n">
        <x:f>IF($A9="","",ROUND($J9*'Assumptions'!L$6,0))</x:f>
        <x:v>162000000</x:v>
      </x:c>
      <x:c r="R9" s="32" t="n">
        <x:f>IF($A9="","",ROUND($J9*'Assumptions'!M$6,0))</x:f>
        <x:v>162000000</x:v>
      </x:c>
      <x:c r="S9" s="32" t="n">
        <x:f>IF($A9="","",ROUND($J9*'Assumptions'!N$6,0))</x:f>
        <x:v>144000000</x:v>
      </x:c>
      <x:c r="T9" s="32" t="n">
        <x:f>IF($A9="","",ROUND($J9*'Assumptions'!O$6,0))</x:f>
        <x:v>162000000</x:v>
      </x:c>
      <x:c r="U9" s="32" t="n">
        <x:f>IF($A9="","",ROUND($J9*'Assumptions'!P$6,0))</x:f>
        <x:v>162000000</x:v>
      </x:c>
      <x:c r="V9" s="32" t="n">
        <x:f>IF($A9="","",ROUND($J9*'Assumptions'!Q$6,0))</x:f>
        <x:v>180000000</x:v>
      </x:c>
    </x:row>
    <x:row r="10" ht="15" hidden="0" customHeight="1">
      <x:c r="A10" s="16" t="str">
        <x:v>IT-004</x:v>
      </x:c>
      <x:c r="B10" s="16" t="str">
        <x:v>Corporate IT</x:v>
      </x:c>
      <x:c r="C10" s="16" t="str">
        <x:v>CC-IT-300</x:v>
      </x:c>
      <x:c r="D10" s="16" t="str">
        <x:v>End User Services</x:v>
      </x:c>
      <x:c r="E10" s="16" t="str">
        <x:v>APO06</x:v>
      </x:c>
      <x:c r="F10" s="16" t="str">
        <x:v>OpEx</x:v>
      </x:c>
      <x:c r="G10" s="16" t="str">
        <x:v>Run</x:v>
      </x:c>
      <x:c r="H10" s="16" t="str">
        <x:v>Workplace &amp; Devices</x:v>
      </x:c>
      <x:c r="I10" s="16" t="str">
        <x:v>IT Operations Manager</x:v>
      </x:c>
      <x:c r="J10" s="31" t="n">
        <x:v>480000000</x:v>
      </x:c>
      <x:c r="K10" s="32" t="n">
        <x:f>IF($A10="","",ROUND($J10*'Assumptions'!F$6,0))</x:f>
        <x:v>33600000</x:v>
      </x:c>
      <x:c r="L10" s="32" t="n">
        <x:f>IF($A10="","",ROUND($J10*'Assumptions'!G$6,0))</x:f>
        <x:v>33600000</x:v>
      </x:c>
      <x:c r="M10" s="32" t="n">
        <x:f>IF($A10="","",ROUND($J10*'Assumptions'!H$6,0))</x:f>
        <x:v>38400000</x:v>
      </x:c>
      <x:c r="N10" s="32" t="n">
        <x:f>IF($A10="","",ROUND($J10*'Assumptions'!I$6,0))</x:f>
        <x:v>38400000</x:v>
      </x:c>
      <x:c r="O10" s="32" t="n">
        <x:f>IF($A10="","",ROUND($J10*'Assumptions'!J$6,0))</x:f>
        <x:v>38400000</x:v>
      </x:c>
      <x:c r="P10" s="32" t="n">
        <x:f>IF($A10="","",ROUND($J10*'Assumptions'!K$6,0))</x:f>
        <x:v>38400000</x:v>
      </x:c>
      <x:c r="Q10" s="32" t="n">
        <x:f>IF($A10="","",ROUND($J10*'Assumptions'!L$6,0))</x:f>
        <x:v>43200000</x:v>
      </x:c>
      <x:c r="R10" s="32" t="n">
        <x:f>IF($A10="","",ROUND($J10*'Assumptions'!M$6,0))</x:f>
        <x:v>43200000</x:v>
      </x:c>
      <x:c r="S10" s="32" t="n">
        <x:f>IF($A10="","",ROUND($J10*'Assumptions'!N$6,0))</x:f>
        <x:v>38400000</x:v>
      </x:c>
      <x:c r="T10" s="32" t="n">
        <x:f>IF($A10="","",ROUND($J10*'Assumptions'!O$6,0))</x:f>
        <x:v>43200000</x:v>
      </x:c>
      <x:c r="U10" s="32" t="n">
        <x:f>IF($A10="","",ROUND($J10*'Assumptions'!P$6,0))</x:f>
        <x:v>43200000</x:v>
      </x:c>
      <x:c r="V10" s="32" t="n">
        <x:f>IF($A10="","",ROUND($J10*'Assumptions'!Q$6,0))</x:f>
        <x:v>48000000</x:v>
      </x:c>
    </x:row>
    <x:row r="11" ht="15" hidden="0" customHeight="1">
      <x:c r="A11" s="16" t="str">
        <x:v>IT-005</x:v>
      </x:c>
      <x:c r="B11" s="16" t="str">
        <x:v>Digital</x:v>
      </x:c>
      <x:c r="C11" s="16" t="str">
        <x:v>CC-DIG-200</x:v>
      </x:c>
      <x:c r="D11" s="16" t="str">
        <x:v>Data &amp; Analytics</x:v>
      </x:c>
      <x:c r="E11" s="16" t="str">
        <x:v>APO06</x:v>
      </x:c>
      <x:c r="F11" s="16" t="str">
        <x:v>CapEx</x:v>
      </x:c>
      <x:c r="G11" s="16" t="str">
        <x:v>Change</x:v>
      </x:c>
      <x:c r="H11" s="16" t="str">
        <x:v>Data Platform</x:v>
      </x:c>
      <x:c r="I11" s="16" t="str">
        <x:v>CDO</x:v>
      </x:c>
      <x:c r="J11" s="31" t="n">
        <x:v>900000000</x:v>
      </x:c>
      <x:c r="K11" s="32" t="n">
        <x:f>IF($A11="","",ROUND($J11*'Assumptions'!F$6,0))</x:f>
        <x:v>63000000</x:v>
      </x:c>
      <x:c r="L11" s="32" t="n">
        <x:f>IF($A11="","",ROUND($J11*'Assumptions'!G$6,0))</x:f>
        <x:v>63000000</x:v>
      </x:c>
      <x:c r="M11" s="32" t="n">
        <x:f>IF($A11="","",ROUND($J11*'Assumptions'!H$6,0))</x:f>
        <x:v>72000000</x:v>
      </x:c>
      <x:c r="N11" s="32" t="n">
        <x:f>IF($A11="","",ROUND($J11*'Assumptions'!I$6,0))</x:f>
        <x:v>72000000</x:v>
      </x:c>
      <x:c r="O11" s="32" t="n">
        <x:f>IF($A11="","",ROUND($J11*'Assumptions'!J$6,0))</x:f>
        <x:v>72000000</x:v>
      </x:c>
      <x:c r="P11" s="32" t="n">
        <x:f>IF($A11="","",ROUND($J11*'Assumptions'!K$6,0))</x:f>
        <x:v>72000000</x:v>
      </x:c>
      <x:c r="Q11" s="32" t="n">
        <x:f>IF($A11="","",ROUND($J11*'Assumptions'!L$6,0))</x:f>
        <x:v>81000000</x:v>
      </x:c>
      <x:c r="R11" s="32" t="n">
        <x:f>IF($A11="","",ROUND($J11*'Assumptions'!M$6,0))</x:f>
        <x:v>81000000</x:v>
      </x:c>
      <x:c r="S11" s="32" t="n">
        <x:f>IF($A11="","",ROUND($J11*'Assumptions'!N$6,0))</x:f>
        <x:v>72000000</x:v>
      </x:c>
      <x:c r="T11" s="32" t="n">
        <x:f>IF($A11="","",ROUND($J11*'Assumptions'!O$6,0))</x:f>
        <x:v>81000000</x:v>
      </x:c>
      <x:c r="U11" s="32" t="n">
        <x:f>IF($A11="","",ROUND($J11*'Assumptions'!P$6,0))</x:f>
        <x:v>81000000</x:v>
      </x:c>
      <x:c r="V11" s="32" t="n">
        <x:f>IF($A11="","",ROUND($J11*'Assumptions'!Q$6,0))</x:f>
        <x:v>90000000</x:v>
      </x:c>
    </x:row>
    <x:row r="12" ht="15" hidden="0" customHeight="1">
      <x:c r="A12" s="16"/>
      <x:c r="B12" s="16"/>
      <x:c r="C12" s="16"/>
      <x:c r="D12" s="16"/>
      <x:c r="E12" s="16"/>
      <x:c r="F12" s="16"/>
      <x:c r="G12" s="16"/>
      <x:c r="H12" s="16"/>
      <x:c r="I12" s="16"/>
      <x:c r="J12" s="31"/>
      <x:c r="K12" s="32" t="str">
        <x:f>IF($A12="","",ROUND($J12*'Assumptions'!F$6,0))</x:f>
      </x:c>
      <x:c r="L12" s="32" t="str">
        <x:f>IF($A12="","",ROUND($J12*'Assumptions'!G$6,0))</x:f>
      </x:c>
      <x:c r="M12" s="32" t="str">
        <x:f>IF($A12="","",ROUND($J12*'Assumptions'!H$6,0))</x:f>
      </x:c>
      <x:c r="N12" s="32" t="str">
        <x:f>IF($A12="","",ROUND($J12*'Assumptions'!I$6,0))</x:f>
      </x:c>
      <x:c r="O12" s="32" t="str">
        <x:f>IF($A12="","",ROUND($J12*'Assumptions'!J$6,0))</x:f>
      </x:c>
      <x:c r="P12" s="32" t="str">
        <x:f>IF($A12="","",ROUND($J12*'Assumptions'!K$6,0))</x:f>
      </x:c>
      <x:c r="Q12" s="32" t="str">
        <x:f>IF($A12="","",ROUND($J12*'Assumptions'!L$6,0))</x:f>
      </x:c>
      <x:c r="R12" s="32" t="str">
        <x:f>IF($A12="","",ROUND($J12*'Assumptions'!M$6,0))</x:f>
      </x:c>
      <x:c r="S12" s="32" t="str">
        <x:f>IF($A12="","",ROUND($J12*'Assumptions'!N$6,0))</x:f>
      </x:c>
      <x:c r="T12" s="32" t="str">
        <x:f>IF($A12="","",ROUND($J12*'Assumptions'!O$6,0))</x:f>
      </x:c>
      <x:c r="U12" s="32" t="str">
        <x:f>IF($A12="","",ROUND($J12*'Assumptions'!P$6,0))</x:f>
      </x:c>
      <x:c r="V12" s="32" t="str">
        <x:f>IF($A12="","",ROUND($J12*'Assumptions'!Q$6,0))</x:f>
      </x:c>
    </x:row>
    <x:row r="13" ht="15" hidden="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31"/>
      <x:c r="K13" s="32" t="str">
        <x:f>IF($A13="","",ROUND($J13*'Assumptions'!F$6,0))</x:f>
      </x:c>
      <x:c r="L13" s="32" t="str">
        <x:f>IF($A13="","",ROUND($J13*'Assumptions'!G$6,0))</x:f>
      </x:c>
      <x:c r="M13" s="32" t="str">
        <x:f>IF($A13="","",ROUND($J13*'Assumptions'!H$6,0))</x:f>
      </x:c>
      <x:c r="N13" s="32" t="str">
        <x:f>IF($A13="","",ROUND($J13*'Assumptions'!I$6,0))</x:f>
      </x:c>
      <x:c r="O13" s="32" t="str">
        <x:f>IF($A13="","",ROUND($J13*'Assumptions'!J$6,0))</x:f>
      </x:c>
      <x:c r="P13" s="32" t="str">
        <x:f>IF($A13="","",ROUND($J13*'Assumptions'!K$6,0))</x:f>
      </x:c>
      <x:c r="Q13" s="32" t="str">
        <x:f>IF($A13="","",ROUND($J13*'Assumptions'!L$6,0))</x:f>
      </x:c>
      <x:c r="R13" s="32" t="str">
        <x:f>IF($A13="","",ROUND($J13*'Assumptions'!M$6,0))</x:f>
      </x:c>
      <x:c r="S13" s="32" t="str">
        <x:f>IF($A13="","",ROUND($J13*'Assumptions'!N$6,0))</x:f>
      </x:c>
      <x:c r="T13" s="32" t="str">
        <x:f>IF($A13="","",ROUND($J13*'Assumptions'!O$6,0))</x:f>
      </x:c>
      <x:c r="U13" s="32" t="str">
        <x:f>IF($A13="","",ROUND($J13*'Assumptions'!P$6,0))</x:f>
      </x:c>
      <x:c r="V13" s="32" t="str">
        <x:f>IF($A13="","",ROUND($J13*'Assumptions'!Q$6,0))</x:f>
      </x:c>
    </x:row>
    <x:row r="14" ht="15" hidden="0" customHeight="1">
      <x:c r="A14" s="16"/>
      <x:c r="B14" s="16"/>
      <x:c r="C14" s="16"/>
      <x:c r="D14" s="16"/>
      <x:c r="E14" s="16"/>
      <x:c r="F14" s="16"/>
      <x:c r="G14" s="16"/>
      <x:c r="H14" s="16"/>
      <x:c r="I14" s="16"/>
      <x:c r="J14" s="31"/>
      <x:c r="K14" s="32" t="str">
        <x:f>IF($A14="","",ROUND($J14*'Assumptions'!F$6,0))</x:f>
      </x:c>
      <x:c r="L14" s="32" t="str">
        <x:f>IF($A14="","",ROUND($J14*'Assumptions'!G$6,0))</x:f>
      </x:c>
      <x:c r="M14" s="32" t="str">
        <x:f>IF($A14="","",ROUND($J14*'Assumptions'!H$6,0))</x:f>
      </x:c>
      <x:c r="N14" s="32" t="str">
        <x:f>IF($A14="","",ROUND($J14*'Assumptions'!I$6,0))</x:f>
      </x:c>
      <x:c r="O14" s="32" t="str">
        <x:f>IF($A14="","",ROUND($J14*'Assumptions'!J$6,0))</x:f>
      </x:c>
      <x:c r="P14" s="32" t="str">
        <x:f>IF($A14="","",ROUND($J14*'Assumptions'!K$6,0))</x:f>
      </x:c>
      <x:c r="Q14" s="32" t="str">
        <x:f>IF($A14="","",ROUND($J14*'Assumptions'!L$6,0))</x:f>
      </x:c>
      <x:c r="R14" s="32" t="str">
        <x:f>IF($A14="","",ROUND($J14*'Assumptions'!M$6,0))</x:f>
      </x:c>
      <x:c r="S14" s="32" t="str">
        <x:f>IF($A14="","",ROUND($J14*'Assumptions'!N$6,0))</x:f>
      </x:c>
      <x:c r="T14" s="32" t="str">
        <x:f>IF($A14="","",ROUND($J14*'Assumptions'!O$6,0))</x:f>
      </x:c>
      <x:c r="U14" s="32" t="str">
        <x:f>IF($A14="","",ROUND($J14*'Assumptions'!P$6,0))</x:f>
      </x:c>
      <x:c r="V14" s="32" t="str">
        <x:f>IF($A14="","",ROUND($J14*'Assumptions'!Q$6,0))</x:f>
      </x:c>
    </x:row>
    <x:row r="15" ht="15" hidden="0" customHeight="1">
      <x:c r="A15" s="16"/>
      <x:c r="B15" s="16"/>
      <x:c r="C15" s="16"/>
      <x:c r="D15" s="16"/>
      <x:c r="E15" s="16"/>
      <x:c r="F15" s="16"/>
      <x:c r="G15" s="16"/>
      <x:c r="H15" s="16"/>
      <x:c r="I15" s="16"/>
      <x:c r="J15" s="31"/>
      <x:c r="K15" s="32" t="str">
        <x:f>IF($A15="","",ROUND($J15*'Assumptions'!F$6,0))</x:f>
      </x:c>
      <x:c r="L15" s="32" t="str">
        <x:f>IF($A15="","",ROUND($J15*'Assumptions'!G$6,0))</x:f>
      </x:c>
      <x:c r="M15" s="32" t="str">
        <x:f>IF($A15="","",ROUND($J15*'Assumptions'!H$6,0))</x:f>
      </x:c>
      <x:c r="N15" s="32" t="str">
        <x:f>IF($A15="","",ROUND($J15*'Assumptions'!I$6,0))</x:f>
      </x:c>
      <x:c r="O15" s="32" t="str">
        <x:f>IF($A15="","",ROUND($J15*'Assumptions'!J$6,0))</x:f>
      </x:c>
      <x:c r="P15" s="32" t="str">
        <x:f>IF($A15="","",ROUND($J15*'Assumptions'!K$6,0))</x:f>
      </x:c>
      <x:c r="Q15" s="32" t="str">
        <x:f>IF($A15="","",ROUND($J15*'Assumptions'!L$6,0))</x:f>
      </x:c>
      <x:c r="R15" s="32" t="str">
        <x:f>IF($A15="","",ROUND($J15*'Assumptions'!M$6,0))</x:f>
      </x:c>
      <x:c r="S15" s="32" t="str">
        <x:f>IF($A15="","",ROUND($J15*'Assumptions'!N$6,0))</x:f>
      </x:c>
      <x:c r="T15" s="32" t="str">
        <x:f>IF($A15="","",ROUND($J15*'Assumptions'!O$6,0))</x:f>
      </x:c>
      <x:c r="U15" s="32" t="str">
        <x:f>IF($A15="","",ROUND($J15*'Assumptions'!P$6,0))</x:f>
      </x:c>
      <x:c r="V15" s="32" t="str">
        <x:f>IF($A15="","",ROUND($J15*'Assumptions'!Q$6,0))</x:f>
      </x:c>
    </x:row>
    <x:row r="16" ht="15" hidden="0" customHeight="1">
      <x:c r="A16" s="16"/>
      <x:c r="B16" s="16"/>
      <x:c r="C16" s="16"/>
      <x:c r="D16" s="16"/>
      <x:c r="E16" s="16"/>
      <x:c r="F16" s="16"/>
      <x:c r="G16" s="16"/>
      <x:c r="H16" s="16"/>
      <x:c r="I16" s="16"/>
      <x:c r="J16" s="31"/>
      <x:c r="K16" s="32" t="str">
        <x:f>IF($A16="","",ROUND($J16*'Assumptions'!F$6,0))</x:f>
      </x:c>
      <x:c r="L16" s="32" t="str">
        <x:f>IF($A16="","",ROUND($J16*'Assumptions'!G$6,0))</x:f>
      </x:c>
      <x:c r="M16" s="32" t="str">
        <x:f>IF($A16="","",ROUND($J16*'Assumptions'!H$6,0))</x:f>
      </x:c>
      <x:c r="N16" s="32" t="str">
        <x:f>IF($A16="","",ROUND($J16*'Assumptions'!I$6,0))</x:f>
      </x:c>
      <x:c r="O16" s="32" t="str">
        <x:f>IF($A16="","",ROUND($J16*'Assumptions'!J$6,0))</x:f>
      </x:c>
      <x:c r="P16" s="32" t="str">
        <x:f>IF($A16="","",ROUND($J16*'Assumptions'!K$6,0))</x:f>
      </x:c>
      <x:c r="Q16" s="32" t="str">
        <x:f>IF($A16="","",ROUND($J16*'Assumptions'!L$6,0))</x:f>
      </x:c>
      <x:c r="R16" s="32" t="str">
        <x:f>IF($A16="","",ROUND($J16*'Assumptions'!M$6,0))</x:f>
      </x:c>
      <x:c r="S16" s="32" t="str">
        <x:f>IF($A16="","",ROUND($J16*'Assumptions'!N$6,0))</x:f>
      </x:c>
      <x:c r="T16" s="32" t="str">
        <x:f>IF($A16="","",ROUND($J16*'Assumptions'!O$6,0))</x:f>
      </x:c>
      <x:c r="U16" s="32" t="str">
        <x:f>IF($A16="","",ROUND($J16*'Assumptions'!P$6,0))</x:f>
      </x:c>
      <x:c r="V16" s="32" t="str">
        <x:f>IF($A16="","",ROUND($J16*'Assumptions'!Q$6,0))</x:f>
      </x:c>
    </x:row>
    <x:row r="17" ht="15" hidden="0" customHeight="1">
      <x:c r="A17" s="16"/>
      <x:c r="B17" s="16"/>
      <x:c r="C17" s="16"/>
      <x:c r="D17" s="16"/>
      <x:c r="E17" s="16"/>
      <x:c r="F17" s="16"/>
      <x:c r="G17" s="16"/>
      <x:c r="H17" s="16"/>
      <x:c r="I17" s="16"/>
      <x:c r="J17" s="31"/>
      <x:c r="K17" s="32" t="str">
        <x:f>IF($A17="","",ROUND($J17*'Assumptions'!F$6,0))</x:f>
      </x:c>
      <x:c r="L17" s="32" t="str">
        <x:f>IF($A17="","",ROUND($J17*'Assumptions'!G$6,0))</x:f>
      </x:c>
      <x:c r="M17" s="32" t="str">
        <x:f>IF($A17="","",ROUND($J17*'Assumptions'!H$6,0))</x:f>
      </x:c>
      <x:c r="N17" s="32" t="str">
        <x:f>IF($A17="","",ROUND($J17*'Assumptions'!I$6,0))</x:f>
      </x:c>
      <x:c r="O17" s="32" t="str">
        <x:f>IF($A17="","",ROUND($J17*'Assumptions'!J$6,0))</x:f>
      </x:c>
      <x:c r="P17" s="32" t="str">
        <x:f>IF($A17="","",ROUND($J17*'Assumptions'!K$6,0))</x:f>
      </x:c>
      <x:c r="Q17" s="32" t="str">
        <x:f>IF($A17="","",ROUND($J17*'Assumptions'!L$6,0))</x:f>
      </x:c>
      <x:c r="R17" s="32" t="str">
        <x:f>IF($A17="","",ROUND($J17*'Assumptions'!M$6,0))</x:f>
      </x:c>
      <x:c r="S17" s="32" t="str">
        <x:f>IF($A17="","",ROUND($J17*'Assumptions'!N$6,0))</x:f>
      </x:c>
      <x:c r="T17" s="32" t="str">
        <x:f>IF($A17="","",ROUND($J17*'Assumptions'!O$6,0))</x:f>
      </x:c>
      <x:c r="U17" s="32" t="str">
        <x:f>IF($A17="","",ROUND($J17*'Assumptions'!P$6,0))</x:f>
      </x:c>
      <x:c r="V17" s="32" t="str">
        <x:f>IF($A17="","",ROUND($J17*'Assumptions'!Q$6,0))</x:f>
      </x:c>
    </x:row>
    <x:row r="18" ht="15" hidden="0" customHeight="1">
      <x:c r="A18" s="16"/>
      <x:c r="B18" s="16"/>
      <x:c r="C18" s="16"/>
      <x:c r="D18" s="16"/>
      <x:c r="E18" s="16"/>
      <x:c r="F18" s="16"/>
      <x:c r="G18" s="16"/>
      <x:c r="H18" s="16"/>
      <x:c r="I18" s="16"/>
      <x:c r="J18" s="31"/>
      <x:c r="K18" s="32" t="str">
        <x:f>IF($A18="","",ROUND($J18*'Assumptions'!F$6,0))</x:f>
      </x:c>
      <x:c r="L18" s="32" t="str">
        <x:f>IF($A18="","",ROUND($J18*'Assumptions'!G$6,0))</x:f>
      </x:c>
      <x:c r="M18" s="32" t="str">
        <x:f>IF($A18="","",ROUND($J18*'Assumptions'!H$6,0))</x:f>
      </x:c>
      <x:c r="N18" s="32" t="str">
        <x:f>IF($A18="","",ROUND($J18*'Assumptions'!I$6,0))</x:f>
      </x:c>
      <x:c r="O18" s="32" t="str">
        <x:f>IF($A18="","",ROUND($J18*'Assumptions'!J$6,0))</x:f>
      </x:c>
      <x:c r="P18" s="32" t="str">
        <x:f>IF($A18="","",ROUND($J18*'Assumptions'!K$6,0))</x:f>
      </x:c>
      <x:c r="Q18" s="32" t="str">
        <x:f>IF($A18="","",ROUND($J18*'Assumptions'!L$6,0))</x:f>
      </x:c>
      <x:c r="R18" s="32" t="str">
        <x:f>IF($A18="","",ROUND($J18*'Assumptions'!M$6,0))</x:f>
      </x:c>
      <x:c r="S18" s="32" t="str">
        <x:f>IF($A18="","",ROUND($J18*'Assumptions'!N$6,0))</x:f>
      </x:c>
      <x:c r="T18" s="32" t="str">
        <x:f>IF($A18="","",ROUND($J18*'Assumptions'!O$6,0))</x:f>
      </x:c>
      <x:c r="U18" s="32" t="str">
        <x:f>IF($A18="","",ROUND($J18*'Assumptions'!P$6,0))</x:f>
      </x:c>
      <x:c r="V18" s="32" t="str">
        <x:f>IF($A18="","",ROUND($J18*'Assumptions'!Q$6,0))</x:f>
      </x:c>
    </x:row>
    <x:row r="19" ht="15" hidden="0" customHeight="1">
      <x:c r="A19" s="16"/>
      <x:c r="B19" s="16"/>
      <x:c r="C19" s="16"/>
      <x:c r="D19" s="16"/>
      <x:c r="E19" s="16"/>
      <x:c r="F19" s="16"/>
      <x:c r="G19" s="16"/>
      <x:c r="H19" s="16"/>
      <x:c r="I19" s="16"/>
      <x:c r="J19" s="31"/>
      <x:c r="K19" s="32" t="str">
        <x:f>IF($A19="","",ROUND($J19*'Assumptions'!F$6,0))</x:f>
      </x:c>
      <x:c r="L19" s="32" t="str">
        <x:f>IF($A19="","",ROUND($J19*'Assumptions'!G$6,0))</x:f>
      </x:c>
      <x:c r="M19" s="32" t="str">
        <x:f>IF($A19="","",ROUND($J19*'Assumptions'!H$6,0))</x:f>
      </x:c>
      <x:c r="N19" s="32" t="str">
        <x:f>IF($A19="","",ROUND($J19*'Assumptions'!I$6,0))</x:f>
      </x:c>
      <x:c r="O19" s="32" t="str">
        <x:f>IF($A19="","",ROUND($J19*'Assumptions'!J$6,0))</x:f>
      </x:c>
      <x:c r="P19" s="32" t="str">
        <x:f>IF($A19="","",ROUND($J19*'Assumptions'!K$6,0))</x:f>
      </x:c>
      <x:c r="Q19" s="32" t="str">
        <x:f>IF($A19="","",ROUND($J19*'Assumptions'!L$6,0))</x:f>
      </x:c>
      <x:c r="R19" s="32" t="str">
        <x:f>IF($A19="","",ROUND($J19*'Assumptions'!M$6,0))</x:f>
      </x:c>
      <x:c r="S19" s="32" t="str">
        <x:f>IF($A19="","",ROUND($J19*'Assumptions'!N$6,0))</x:f>
      </x:c>
      <x:c r="T19" s="32" t="str">
        <x:f>IF($A19="","",ROUND($J19*'Assumptions'!O$6,0))</x:f>
      </x:c>
      <x:c r="U19" s="32" t="str">
        <x:f>IF($A19="","",ROUND($J19*'Assumptions'!P$6,0))</x:f>
      </x:c>
      <x:c r="V19" s="32" t="str">
        <x:f>IF($A19="","",ROUND($J19*'Assumptions'!Q$6,0))</x:f>
      </x:c>
    </x:row>
    <x:row r="20" ht="15" hidden="0" customHeight="1">
      <x:c r="A20" s="16"/>
      <x:c r="B20" s="16"/>
      <x:c r="C20" s="16"/>
      <x:c r="D20" s="16"/>
      <x:c r="E20" s="16"/>
      <x:c r="F20" s="16"/>
      <x:c r="G20" s="16"/>
      <x:c r="H20" s="16"/>
      <x:c r="I20" s="16"/>
      <x:c r="J20" s="31"/>
      <x:c r="K20" s="32" t="str">
        <x:f>IF($A20="","",ROUND($J20*'Assumptions'!F$6,0))</x:f>
      </x:c>
      <x:c r="L20" s="32" t="str">
        <x:f>IF($A20="","",ROUND($J20*'Assumptions'!G$6,0))</x:f>
      </x:c>
      <x:c r="M20" s="32" t="str">
        <x:f>IF($A20="","",ROUND($J20*'Assumptions'!H$6,0))</x:f>
      </x:c>
      <x:c r="N20" s="32" t="str">
        <x:f>IF($A20="","",ROUND($J20*'Assumptions'!I$6,0))</x:f>
      </x:c>
      <x:c r="O20" s="32" t="str">
        <x:f>IF($A20="","",ROUND($J20*'Assumptions'!J$6,0))</x:f>
      </x:c>
      <x:c r="P20" s="32" t="str">
        <x:f>IF($A20="","",ROUND($J20*'Assumptions'!K$6,0))</x:f>
      </x:c>
      <x:c r="Q20" s="32" t="str">
        <x:f>IF($A20="","",ROUND($J20*'Assumptions'!L$6,0))</x:f>
      </x:c>
      <x:c r="R20" s="32" t="str">
        <x:f>IF($A20="","",ROUND($J20*'Assumptions'!M$6,0))</x:f>
      </x:c>
      <x:c r="S20" s="32" t="str">
        <x:f>IF($A20="","",ROUND($J20*'Assumptions'!N$6,0))</x:f>
      </x:c>
      <x:c r="T20" s="32" t="str">
        <x:f>IF($A20="","",ROUND($J20*'Assumptions'!O$6,0))</x:f>
      </x:c>
      <x:c r="U20" s="32" t="str">
        <x:f>IF($A20="","",ROUND($J20*'Assumptions'!P$6,0))</x:f>
      </x:c>
      <x:c r="V20" s="32" t="str">
        <x:f>IF($A20="","",ROUND($J20*'Assumptions'!Q$6,0))</x:f>
      </x:c>
    </x:row>
    <x:row r="21" ht="15" hidden="0" customHeight="1">
      <x:c r="A21" s="16"/>
      <x:c r="B21" s="16"/>
      <x:c r="C21" s="16"/>
      <x:c r="D21" s="16"/>
      <x:c r="E21" s="16"/>
      <x:c r="F21" s="16"/>
      <x:c r="G21" s="16"/>
      <x:c r="H21" s="16"/>
      <x:c r="I21" s="16"/>
      <x:c r="J21" s="31"/>
      <x:c r="K21" s="32" t="str">
        <x:f>IF($A21="","",ROUND($J21*'Assumptions'!F$6,0))</x:f>
      </x:c>
      <x:c r="L21" s="32" t="str">
        <x:f>IF($A21="","",ROUND($J21*'Assumptions'!G$6,0))</x:f>
      </x:c>
      <x:c r="M21" s="32" t="str">
        <x:f>IF($A21="","",ROUND($J21*'Assumptions'!H$6,0))</x:f>
      </x:c>
      <x:c r="N21" s="32" t="str">
        <x:f>IF($A21="","",ROUND($J21*'Assumptions'!I$6,0))</x:f>
      </x:c>
      <x:c r="O21" s="32" t="str">
        <x:f>IF($A21="","",ROUND($J21*'Assumptions'!J$6,0))</x:f>
      </x:c>
      <x:c r="P21" s="32" t="str">
        <x:f>IF($A21="","",ROUND($J21*'Assumptions'!K$6,0))</x:f>
      </x:c>
      <x:c r="Q21" s="32" t="str">
        <x:f>IF($A21="","",ROUND($J21*'Assumptions'!L$6,0))</x:f>
      </x:c>
      <x:c r="R21" s="32" t="str">
        <x:f>IF($A21="","",ROUND($J21*'Assumptions'!M$6,0))</x:f>
      </x:c>
      <x:c r="S21" s="32" t="str">
        <x:f>IF($A21="","",ROUND($J21*'Assumptions'!N$6,0))</x:f>
      </x:c>
      <x:c r="T21" s="32" t="str">
        <x:f>IF($A21="","",ROUND($J21*'Assumptions'!O$6,0))</x:f>
      </x:c>
      <x:c r="U21" s="32" t="str">
        <x:f>IF($A21="","",ROUND($J21*'Assumptions'!P$6,0))</x:f>
      </x:c>
      <x:c r="V21" s="32" t="str">
        <x:f>IF($A21="","",ROUND($J21*'Assumptions'!Q$6,0))</x:f>
      </x:c>
    </x:row>
    <x:row r="22" ht="15" hidden="0" customHeight="1">
      <x:c r="A22" s="16"/>
      <x:c r="B22" s="16"/>
      <x:c r="C22" s="16"/>
      <x:c r="D22" s="16"/>
      <x:c r="E22" s="16"/>
      <x:c r="F22" s="16"/>
      <x:c r="G22" s="16"/>
      <x:c r="H22" s="16"/>
      <x:c r="I22" s="16"/>
      <x:c r="J22" s="31"/>
      <x:c r="K22" s="32" t="str">
        <x:f>IF($A22="","",ROUND($J22*'Assumptions'!F$6,0))</x:f>
      </x:c>
      <x:c r="L22" s="32" t="str">
        <x:f>IF($A22="","",ROUND($J22*'Assumptions'!G$6,0))</x:f>
      </x:c>
      <x:c r="M22" s="32" t="str">
        <x:f>IF($A22="","",ROUND($J22*'Assumptions'!H$6,0))</x:f>
      </x:c>
      <x:c r="N22" s="32" t="str">
        <x:f>IF($A22="","",ROUND($J22*'Assumptions'!I$6,0))</x:f>
      </x:c>
      <x:c r="O22" s="32" t="str">
        <x:f>IF($A22="","",ROUND($J22*'Assumptions'!J$6,0))</x:f>
      </x:c>
      <x:c r="P22" s="32" t="str">
        <x:f>IF($A22="","",ROUND($J22*'Assumptions'!K$6,0))</x:f>
      </x:c>
      <x:c r="Q22" s="32" t="str">
        <x:f>IF($A22="","",ROUND($J22*'Assumptions'!L$6,0))</x:f>
      </x:c>
      <x:c r="R22" s="32" t="str">
        <x:f>IF($A22="","",ROUND($J22*'Assumptions'!M$6,0))</x:f>
      </x:c>
      <x:c r="S22" s="32" t="str">
        <x:f>IF($A22="","",ROUND($J22*'Assumptions'!N$6,0))</x:f>
      </x:c>
      <x:c r="T22" s="32" t="str">
        <x:f>IF($A22="","",ROUND($J22*'Assumptions'!O$6,0))</x:f>
      </x:c>
      <x:c r="U22" s="32" t="str">
        <x:f>IF($A22="","",ROUND($J22*'Assumptions'!P$6,0))</x:f>
      </x:c>
      <x:c r="V22" s="32" t="str">
        <x:f>IF($A22="","",ROUND($J22*'Assumptions'!Q$6,0))</x:f>
      </x:c>
    </x:row>
    <x:row r="23" ht="15" hidden="0" customHeight="1">
      <x:c r="A23" s="16"/>
      <x:c r="B23" s="16"/>
      <x:c r="C23" s="16"/>
      <x:c r="D23" s="16"/>
      <x:c r="E23" s="16"/>
      <x:c r="F23" s="16"/>
      <x:c r="G23" s="16"/>
      <x:c r="H23" s="16"/>
      <x:c r="I23" s="16"/>
      <x:c r="J23" s="31"/>
      <x:c r="K23" s="32" t="str">
        <x:f>IF($A23="","",ROUND($J23*'Assumptions'!F$6,0))</x:f>
      </x:c>
      <x:c r="L23" s="32" t="str">
        <x:f>IF($A23="","",ROUND($J23*'Assumptions'!G$6,0))</x:f>
      </x:c>
      <x:c r="M23" s="32" t="str">
        <x:f>IF($A23="","",ROUND($J23*'Assumptions'!H$6,0))</x:f>
      </x:c>
      <x:c r="N23" s="32" t="str">
        <x:f>IF($A23="","",ROUND($J23*'Assumptions'!I$6,0))</x:f>
      </x:c>
      <x:c r="O23" s="32" t="str">
        <x:f>IF($A23="","",ROUND($J23*'Assumptions'!J$6,0))</x:f>
      </x:c>
      <x:c r="P23" s="32" t="str">
        <x:f>IF($A23="","",ROUND($J23*'Assumptions'!K$6,0))</x:f>
      </x:c>
      <x:c r="Q23" s="32" t="str">
        <x:f>IF($A23="","",ROUND($J23*'Assumptions'!L$6,0))</x:f>
      </x:c>
      <x:c r="R23" s="32" t="str">
        <x:f>IF($A23="","",ROUND($J23*'Assumptions'!M$6,0))</x:f>
      </x:c>
      <x:c r="S23" s="32" t="str">
        <x:f>IF($A23="","",ROUND($J23*'Assumptions'!N$6,0))</x:f>
      </x:c>
      <x:c r="T23" s="32" t="str">
        <x:f>IF($A23="","",ROUND($J23*'Assumptions'!O$6,0))</x:f>
      </x:c>
      <x:c r="U23" s="32" t="str">
        <x:f>IF($A23="","",ROUND($J23*'Assumptions'!P$6,0))</x:f>
      </x:c>
      <x:c r="V23" s="32" t="str">
        <x:f>IF($A23="","",ROUND($J23*'Assumptions'!Q$6,0))</x:f>
      </x:c>
    </x:row>
    <x:row r="24" ht="15" hidden="0" customHeight="1">
      <x:c r="A24" s="16"/>
      <x:c r="B24" s="16"/>
      <x:c r="C24" s="16"/>
      <x:c r="D24" s="16"/>
      <x:c r="E24" s="16"/>
      <x:c r="F24" s="16"/>
      <x:c r="G24" s="16"/>
      <x:c r="H24" s="16"/>
      <x:c r="I24" s="16"/>
      <x:c r="J24" s="31"/>
      <x:c r="K24" s="32" t="str">
        <x:f>IF($A24="","",ROUND($J24*'Assumptions'!F$6,0))</x:f>
      </x:c>
      <x:c r="L24" s="32" t="str">
        <x:f>IF($A24="","",ROUND($J24*'Assumptions'!G$6,0))</x:f>
      </x:c>
      <x:c r="M24" s="32" t="str">
        <x:f>IF($A24="","",ROUND($J24*'Assumptions'!H$6,0))</x:f>
      </x:c>
      <x:c r="N24" s="32" t="str">
        <x:f>IF($A24="","",ROUND($J24*'Assumptions'!I$6,0))</x:f>
      </x:c>
      <x:c r="O24" s="32" t="str">
        <x:f>IF($A24="","",ROUND($J24*'Assumptions'!J$6,0))</x:f>
      </x:c>
      <x:c r="P24" s="32" t="str">
        <x:f>IF($A24="","",ROUND($J24*'Assumptions'!K$6,0))</x:f>
      </x:c>
      <x:c r="Q24" s="32" t="str">
        <x:f>IF($A24="","",ROUND($J24*'Assumptions'!L$6,0))</x:f>
      </x:c>
      <x:c r="R24" s="32" t="str">
        <x:f>IF($A24="","",ROUND($J24*'Assumptions'!M$6,0))</x:f>
      </x:c>
      <x:c r="S24" s="32" t="str">
        <x:f>IF($A24="","",ROUND($J24*'Assumptions'!N$6,0))</x:f>
      </x:c>
      <x:c r="T24" s="32" t="str">
        <x:f>IF($A24="","",ROUND($J24*'Assumptions'!O$6,0))</x:f>
      </x:c>
      <x:c r="U24" s="32" t="str">
        <x:f>IF($A24="","",ROUND($J24*'Assumptions'!P$6,0))</x:f>
      </x:c>
      <x:c r="V24" s="32" t="str">
        <x:f>IF($A24="","",ROUND($J24*'Assumptions'!Q$6,0))</x:f>
      </x:c>
    </x:row>
    <x:row r="25" ht="15" hidden="0" customHeight="1">
      <x:c r="A25" s="16"/>
      <x:c r="B25" s="16"/>
      <x:c r="C25" s="16"/>
      <x:c r="D25" s="16"/>
      <x:c r="E25" s="16"/>
      <x:c r="F25" s="16"/>
      <x:c r="G25" s="16"/>
      <x:c r="H25" s="16"/>
      <x:c r="I25" s="16"/>
      <x:c r="J25" s="31"/>
      <x:c r="K25" s="32" t="str">
        <x:f>IF($A25="","",ROUND($J25*'Assumptions'!F$6,0))</x:f>
      </x:c>
      <x:c r="L25" s="32" t="str">
        <x:f>IF($A25="","",ROUND($J25*'Assumptions'!G$6,0))</x:f>
      </x:c>
      <x:c r="M25" s="32" t="str">
        <x:f>IF($A25="","",ROUND($J25*'Assumptions'!H$6,0))</x:f>
      </x:c>
      <x:c r="N25" s="32" t="str">
        <x:f>IF($A25="","",ROUND($J25*'Assumptions'!I$6,0))</x:f>
      </x:c>
      <x:c r="O25" s="32" t="str">
        <x:f>IF($A25="","",ROUND($J25*'Assumptions'!J$6,0))</x:f>
      </x:c>
      <x:c r="P25" s="32" t="str">
        <x:f>IF($A25="","",ROUND($J25*'Assumptions'!K$6,0))</x:f>
      </x:c>
      <x:c r="Q25" s="32" t="str">
        <x:f>IF($A25="","",ROUND($J25*'Assumptions'!L$6,0))</x:f>
      </x:c>
      <x:c r="R25" s="32" t="str">
        <x:f>IF($A25="","",ROUND($J25*'Assumptions'!M$6,0))</x:f>
      </x:c>
      <x:c r="S25" s="32" t="str">
        <x:f>IF($A25="","",ROUND($J25*'Assumptions'!N$6,0))</x:f>
      </x:c>
      <x:c r="T25" s="32" t="str">
        <x:f>IF($A25="","",ROUND($J25*'Assumptions'!O$6,0))</x:f>
      </x:c>
      <x:c r="U25" s="32" t="str">
        <x:f>IF($A25="","",ROUND($J25*'Assumptions'!P$6,0))</x:f>
      </x:c>
      <x:c r="V25" s="32" t="str">
        <x:f>IF($A25="","",ROUND($J25*'Assumptions'!Q$6,0))</x:f>
      </x:c>
    </x:row>
    <x:row r="26" ht="15" hidden="0" customHeight="1">
      <x:c r="A26" s="16"/>
      <x:c r="B26" s="16"/>
      <x:c r="C26" s="16"/>
      <x:c r="D26" s="16"/>
      <x:c r="E26" s="16"/>
      <x:c r="F26" s="16"/>
      <x:c r="G26" s="16"/>
      <x:c r="H26" s="16"/>
      <x:c r="I26" s="16"/>
      <x:c r="J26" s="31"/>
      <x:c r="K26" s="32" t="str">
        <x:f>IF($A26="","",ROUND($J26*'Assumptions'!F$6,0))</x:f>
      </x:c>
      <x:c r="L26" s="32" t="str">
        <x:f>IF($A26="","",ROUND($J26*'Assumptions'!G$6,0))</x:f>
      </x:c>
      <x:c r="M26" s="32" t="str">
        <x:f>IF($A26="","",ROUND($J26*'Assumptions'!H$6,0))</x:f>
      </x:c>
      <x:c r="N26" s="32" t="str">
        <x:f>IF($A26="","",ROUND($J26*'Assumptions'!I$6,0))</x:f>
      </x:c>
      <x:c r="O26" s="32" t="str">
        <x:f>IF($A26="","",ROUND($J26*'Assumptions'!J$6,0))</x:f>
      </x:c>
      <x:c r="P26" s="32" t="str">
        <x:f>IF($A26="","",ROUND($J26*'Assumptions'!K$6,0))</x:f>
      </x:c>
      <x:c r="Q26" s="32" t="str">
        <x:f>IF($A26="","",ROUND($J26*'Assumptions'!L$6,0))</x:f>
      </x:c>
      <x:c r="R26" s="32" t="str">
        <x:f>IF($A26="","",ROUND($J26*'Assumptions'!M$6,0))</x:f>
      </x:c>
      <x:c r="S26" s="32" t="str">
        <x:f>IF($A26="","",ROUND($J26*'Assumptions'!N$6,0))</x:f>
      </x:c>
      <x:c r="T26" s="32" t="str">
        <x:f>IF($A26="","",ROUND($J26*'Assumptions'!O$6,0))</x:f>
      </x:c>
      <x:c r="U26" s="32" t="str">
        <x:f>IF($A26="","",ROUND($J26*'Assumptions'!P$6,0))</x:f>
      </x:c>
      <x:c r="V26" s="32" t="str">
        <x:f>IF($A26="","",ROUND($J26*'Assumptions'!Q$6,0))</x:f>
      </x:c>
    </x:row>
    <x:row r="27" ht="15" hidden="0" customHeight="1">
      <x:c r="A27" s="16"/>
      <x:c r="B27" s="16"/>
      <x:c r="C27" s="16"/>
      <x:c r="D27" s="16"/>
      <x:c r="E27" s="16"/>
      <x:c r="F27" s="16"/>
      <x:c r="G27" s="16"/>
      <x:c r="H27" s="16"/>
      <x:c r="I27" s="16"/>
      <x:c r="J27" s="31"/>
      <x:c r="K27" s="32" t="str">
        <x:f>IF($A27="","",ROUND($J27*'Assumptions'!F$6,0))</x:f>
      </x:c>
      <x:c r="L27" s="32" t="str">
        <x:f>IF($A27="","",ROUND($J27*'Assumptions'!G$6,0))</x:f>
      </x:c>
      <x:c r="M27" s="32" t="str">
        <x:f>IF($A27="","",ROUND($J27*'Assumptions'!H$6,0))</x:f>
      </x:c>
      <x:c r="N27" s="32" t="str">
        <x:f>IF($A27="","",ROUND($J27*'Assumptions'!I$6,0))</x:f>
      </x:c>
      <x:c r="O27" s="32" t="str">
        <x:f>IF($A27="","",ROUND($J27*'Assumptions'!J$6,0))</x:f>
      </x:c>
      <x:c r="P27" s="32" t="str">
        <x:f>IF($A27="","",ROUND($J27*'Assumptions'!K$6,0))</x:f>
      </x:c>
      <x:c r="Q27" s="32" t="str">
        <x:f>IF($A27="","",ROUND($J27*'Assumptions'!L$6,0))</x:f>
      </x:c>
      <x:c r="R27" s="32" t="str">
        <x:f>IF($A27="","",ROUND($J27*'Assumptions'!M$6,0))</x:f>
      </x:c>
      <x:c r="S27" s="32" t="str">
        <x:f>IF($A27="","",ROUND($J27*'Assumptions'!N$6,0))</x:f>
      </x:c>
      <x:c r="T27" s="32" t="str">
        <x:f>IF($A27="","",ROUND($J27*'Assumptions'!O$6,0))</x:f>
      </x:c>
      <x:c r="U27" s="32" t="str">
        <x:f>IF($A27="","",ROUND($J27*'Assumptions'!P$6,0))</x:f>
      </x:c>
      <x:c r="V27" s="32" t="str">
        <x:f>IF($A27="","",ROUND($J27*'Assumptions'!Q$6,0))</x:f>
      </x:c>
    </x:row>
    <x:row r="28" ht="15" hidden="0" customHeight="1">
      <x:c r="A28" s="16"/>
      <x:c r="B28" s="16"/>
      <x:c r="C28" s="16"/>
      <x:c r="D28" s="16"/>
      <x:c r="E28" s="16"/>
      <x:c r="F28" s="16"/>
      <x:c r="G28" s="16"/>
      <x:c r="H28" s="16"/>
      <x:c r="I28" s="16"/>
      <x:c r="J28" s="31"/>
      <x:c r="K28" s="32" t="str">
        <x:f>IF($A28="","",ROUND($J28*'Assumptions'!F$6,0))</x:f>
      </x:c>
      <x:c r="L28" s="32" t="str">
        <x:f>IF($A28="","",ROUND($J28*'Assumptions'!G$6,0))</x:f>
      </x:c>
      <x:c r="M28" s="32" t="str">
        <x:f>IF($A28="","",ROUND($J28*'Assumptions'!H$6,0))</x:f>
      </x:c>
      <x:c r="N28" s="32" t="str">
        <x:f>IF($A28="","",ROUND($J28*'Assumptions'!I$6,0))</x:f>
      </x:c>
      <x:c r="O28" s="32" t="str">
        <x:f>IF($A28="","",ROUND($J28*'Assumptions'!J$6,0))</x:f>
      </x:c>
      <x:c r="P28" s="32" t="str">
        <x:f>IF($A28="","",ROUND($J28*'Assumptions'!K$6,0))</x:f>
      </x:c>
      <x:c r="Q28" s="32" t="str">
        <x:f>IF($A28="","",ROUND($J28*'Assumptions'!L$6,0))</x:f>
      </x:c>
      <x:c r="R28" s="32" t="str">
        <x:f>IF($A28="","",ROUND($J28*'Assumptions'!M$6,0))</x:f>
      </x:c>
      <x:c r="S28" s="32" t="str">
        <x:f>IF($A28="","",ROUND($J28*'Assumptions'!N$6,0))</x:f>
      </x:c>
      <x:c r="T28" s="32" t="str">
        <x:f>IF($A28="","",ROUND($J28*'Assumptions'!O$6,0))</x:f>
      </x:c>
      <x:c r="U28" s="32" t="str">
        <x:f>IF($A28="","",ROUND($J28*'Assumptions'!P$6,0))</x:f>
      </x:c>
      <x:c r="V28" s="32" t="str">
        <x:f>IF($A28="","",ROUND($J28*'Assumptions'!Q$6,0))</x:f>
      </x:c>
    </x:row>
    <x:row r="29" ht="15" hidden="0" customHeight="1">
      <x:c r="A29" s="16"/>
      <x:c r="B29" s="16"/>
      <x:c r="C29" s="16"/>
      <x:c r="D29" s="16"/>
      <x:c r="E29" s="16"/>
      <x:c r="F29" s="16"/>
      <x:c r="G29" s="16"/>
      <x:c r="H29" s="16"/>
      <x:c r="I29" s="16"/>
      <x:c r="J29" s="31"/>
      <x:c r="K29" s="32" t="str">
        <x:f>IF($A29="","",ROUND($J29*'Assumptions'!F$6,0))</x:f>
      </x:c>
      <x:c r="L29" s="32" t="str">
        <x:f>IF($A29="","",ROUND($J29*'Assumptions'!G$6,0))</x:f>
      </x:c>
      <x:c r="M29" s="32" t="str">
        <x:f>IF($A29="","",ROUND($J29*'Assumptions'!H$6,0))</x:f>
      </x:c>
      <x:c r="N29" s="32" t="str">
        <x:f>IF($A29="","",ROUND($J29*'Assumptions'!I$6,0))</x:f>
      </x:c>
      <x:c r="O29" s="32" t="str">
        <x:f>IF($A29="","",ROUND($J29*'Assumptions'!J$6,0))</x:f>
      </x:c>
      <x:c r="P29" s="32" t="str">
        <x:f>IF($A29="","",ROUND($J29*'Assumptions'!K$6,0))</x:f>
      </x:c>
      <x:c r="Q29" s="32" t="str">
        <x:f>IF($A29="","",ROUND($J29*'Assumptions'!L$6,0))</x:f>
      </x:c>
      <x:c r="R29" s="32" t="str">
        <x:f>IF($A29="","",ROUND($J29*'Assumptions'!M$6,0))</x:f>
      </x:c>
      <x:c r="S29" s="32" t="str">
        <x:f>IF($A29="","",ROUND($J29*'Assumptions'!N$6,0))</x:f>
      </x:c>
      <x:c r="T29" s="32" t="str">
        <x:f>IF($A29="","",ROUND($J29*'Assumptions'!O$6,0))</x:f>
      </x:c>
      <x:c r="U29" s="32" t="str">
        <x:f>IF($A29="","",ROUND($J29*'Assumptions'!P$6,0))</x:f>
      </x:c>
      <x:c r="V29" s="32" t="str">
        <x:f>IF($A29="","",ROUND($J29*'Assumptions'!Q$6,0))</x:f>
      </x:c>
    </x:row>
    <x:row r="30" ht="15" hidden="0" customHeight="1">
      <x:c r="A30" s="16"/>
      <x:c r="B30" s="16"/>
      <x:c r="C30" s="16"/>
      <x:c r="D30" s="16"/>
      <x:c r="E30" s="16"/>
      <x:c r="F30" s="16"/>
      <x:c r="G30" s="16"/>
      <x:c r="H30" s="16"/>
      <x:c r="I30" s="16"/>
      <x:c r="J30" s="31"/>
      <x:c r="K30" s="32" t="str">
        <x:f>IF($A30="","",ROUND($J30*'Assumptions'!F$6,0))</x:f>
      </x:c>
      <x:c r="L30" s="32" t="str">
        <x:f>IF($A30="","",ROUND($J30*'Assumptions'!G$6,0))</x:f>
      </x:c>
      <x:c r="M30" s="32" t="str">
        <x:f>IF($A30="","",ROUND($J30*'Assumptions'!H$6,0))</x:f>
      </x:c>
      <x:c r="N30" s="32" t="str">
        <x:f>IF($A30="","",ROUND($J30*'Assumptions'!I$6,0))</x:f>
      </x:c>
      <x:c r="O30" s="32" t="str">
        <x:f>IF($A30="","",ROUND($J30*'Assumptions'!J$6,0))</x:f>
      </x:c>
      <x:c r="P30" s="32" t="str">
        <x:f>IF($A30="","",ROUND($J30*'Assumptions'!K$6,0))</x:f>
      </x:c>
      <x:c r="Q30" s="32" t="str">
        <x:f>IF($A30="","",ROUND($J30*'Assumptions'!L$6,0))</x:f>
      </x:c>
      <x:c r="R30" s="32" t="str">
        <x:f>IF($A30="","",ROUND($J30*'Assumptions'!M$6,0))</x:f>
      </x:c>
      <x:c r="S30" s="32" t="str">
        <x:f>IF($A30="","",ROUND($J30*'Assumptions'!N$6,0))</x:f>
      </x:c>
      <x:c r="T30" s="32" t="str">
        <x:f>IF($A30="","",ROUND($J30*'Assumptions'!O$6,0))</x:f>
      </x:c>
      <x:c r="U30" s="32" t="str">
        <x:f>IF($A30="","",ROUND($J30*'Assumptions'!P$6,0))</x:f>
      </x:c>
      <x:c r="V30" s="32" t="str">
        <x:f>IF($A30="","",ROUND($J30*'Assumptions'!Q$6,0))</x:f>
      </x:c>
    </x:row>
    <x:row r="31" ht="15" hidden="0" customHeight="1">
      <x:c r="A31" s="16"/>
      <x:c r="B31" s="16"/>
      <x:c r="C31" s="16"/>
      <x:c r="D31" s="16"/>
      <x:c r="E31" s="16"/>
      <x:c r="F31" s="16"/>
      <x:c r="G31" s="16"/>
      <x:c r="H31" s="16"/>
      <x:c r="I31" s="16"/>
      <x:c r="J31" s="31"/>
      <x:c r="K31" s="32" t="str">
        <x:f>IF($A31="","",ROUND($J31*'Assumptions'!F$6,0))</x:f>
      </x:c>
      <x:c r="L31" s="32" t="str">
        <x:f>IF($A31="","",ROUND($J31*'Assumptions'!G$6,0))</x:f>
      </x:c>
      <x:c r="M31" s="32" t="str">
        <x:f>IF($A31="","",ROUND($J31*'Assumptions'!H$6,0))</x:f>
      </x:c>
      <x:c r="N31" s="32" t="str">
        <x:f>IF($A31="","",ROUND($J31*'Assumptions'!I$6,0))</x:f>
      </x:c>
      <x:c r="O31" s="32" t="str">
        <x:f>IF($A31="","",ROUND($J31*'Assumptions'!J$6,0))</x:f>
      </x:c>
      <x:c r="P31" s="32" t="str">
        <x:f>IF($A31="","",ROUND($J31*'Assumptions'!K$6,0))</x:f>
      </x:c>
      <x:c r="Q31" s="32" t="str">
        <x:f>IF($A31="","",ROUND($J31*'Assumptions'!L$6,0))</x:f>
      </x:c>
      <x:c r="R31" s="32" t="str">
        <x:f>IF($A31="","",ROUND($J31*'Assumptions'!M$6,0))</x:f>
      </x:c>
      <x:c r="S31" s="32" t="str">
        <x:f>IF($A31="","",ROUND($J31*'Assumptions'!N$6,0))</x:f>
      </x:c>
      <x:c r="T31" s="32" t="str">
        <x:f>IF($A31="","",ROUND($J31*'Assumptions'!O$6,0))</x:f>
      </x:c>
      <x:c r="U31" s="32" t="str">
        <x:f>IF($A31="","",ROUND($J31*'Assumptions'!P$6,0))</x:f>
      </x:c>
      <x:c r="V31" s="32" t="str">
        <x:f>IF($A31="","",ROUND($J31*'Assumptions'!Q$6,0))</x:f>
      </x:c>
    </x:row>
    <x:row r="32" ht="15" hidden="0" customHeight="1">
      <x:c r="A32" s="16"/>
      <x:c r="B32" s="16"/>
      <x:c r="C32" s="16"/>
      <x:c r="D32" s="16"/>
      <x:c r="E32" s="16"/>
      <x:c r="F32" s="16"/>
      <x:c r="G32" s="16"/>
      <x:c r="H32" s="16"/>
      <x:c r="I32" s="16"/>
      <x:c r="J32" s="31"/>
      <x:c r="K32" s="32" t="str">
        <x:f>IF($A32="","",ROUND($J32*'Assumptions'!F$6,0))</x:f>
      </x:c>
      <x:c r="L32" s="32" t="str">
        <x:f>IF($A32="","",ROUND($J32*'Assumptions'!G$6,0))</x:f>
      </x:c>
      <x:c r="M32" s="32" t="str">
        <x:f>IF($A32="","",ROUND($J32*'Assumptions'!H$6,0))</x:f>
      </x:c>
      <x:c r="N32" s="32" t="str">
        <x:f>IF($A32="","",ROUND($J32*'Assumptions'!I$6,0))</x:f>
      </x:c>
      <x:c r="O32" s="32" t="str">
        <x:f>IF($A32="","",ROUND($J32*'Assumptions'!J$6,0))</x:f>
      </x:c>
      <x:c r="P32" s="32" t="str">
        <x:f>IF($A32="","",ROUND($J32*'Assumptions'!K$6,0))</x:f>
      </x:c>
      <x:c r="Q32" s="32" t="str">
        <x:f>IF($A32="","",ROUND($J32*'Assumptions'!L$6,0))</x:f>
      </x:c>
      <x:c r="R32" s="32" t="str">
        <x:f>IF($A32="","",ROUND($J32*'Assumptions'!M$6,0))</x:f>
      </x:c>
      <x:c r="S32" s="32" t="str">
        <x:f>IF($A32="","",ROUND($J32*'Assumptions'!N$6,0))</x:f>
      </x:c>
      <x:c r="T32" s="32" t="str">
        <x:f>IF($A32="","",ROUND($J32*'Assumptions'!O$6,0))</x:f>
      </x:c>
      <x:c r="U32" s="32" t="str">
        <x:f>IF($A32="","",ROUND($J32*'Assumptions'!P$6,0))</x:f>
      </x:c>
      <x:c r="V32" s="32" t="str">
        <x:f>IF($A32="","",ROUND($J32*'Assumptions'!Q$6,0))</x:f>
      </x:c>
    </x:row>
    <x:row r="33" ht="15" hidden="0" customHeight="1">
      <x:c r="A33" s="16"/>
      <x:c r="B33" s="16"/>
      <x:c r="C33" s="16"/>
      <x:c r="D33" s="16"/>
      <x:c r="E33" s="16"/>
      <x:c r="F33" s="16"/>
      <x:c r="G33" s="16"/>
      <x:c r="H33" s="16"/>
      <x:c r="I33" s="16"/>
      <x:c r="J33" s="31"/>
      <x:c r="K33" s="32" t="str">
        <x:f>IF($A33="","",ROUND($J33*'Assumptions'!F$6,0))</x:f>
      </x:c>
      <x:c r="L33" s="32" t="str">
        <x:f>IF($A33="","",ROUND($J33*'Assumptions'!G$6,0))</x:f>
      </x:c>
      <x:c r="M33" s="32" t="str">
        <x:f>IF($A33="","",ROUND($J33*'Assumptions'!H$6,0))</x:f>
      </x:c>
      <x:c r="N33" s="32" t="str">
        <x:f>IF($A33="","",ROUND($J33*'Assumptions'!I$6,0))</x:f>
      </x:c>
      <x:c r="O33" s="32" t="str">
        <x:f>IF($A33="","",ROUND($J33*'Assumptions'!J$6,0))</x:f>
      </x:c>
      <x:c r="P33" s="32" t="str">
        <x:f>IF($A33="","",ROUND($J33*'Assumptions'!K$6,0))</x:f>
      </x:c>
      <x:c r="Q33" s="32" t="str">
        <x:f>IF($A33="","",ROUND($J33*'Assumptions'!L$6,0))</x:f>
      </x:c>
      <x:c r="R33" s="32" t="str">
        <x:f>IF($A33="","",ROUND($J33*'Assumptions'!M$6,0))</x:f>
      </x:c>
      <x:c r="S33" s="32" t="str">
        <x:f>IF($A33="","",ROUND($J33*'Assumptions'!N$6,0))</x:f>
      </x:c>
      <x:c r="T33" s="32" t="str">
        <x:f>IF($A33="","",ROUND($J33*'Assumptions'!O$6,0))</x:f>
      </x:c>
      <x:c r="U33" s="32" t="str">
        <x:f>IF($A33="","",ROUND($J33*'Assumptions'!P$6,0))</x:f>
      </x:c>
      <x:c r="V33" s="32" t="str">
        <x:f>IF($A33="","",ROUND($J33*'Assumptions'!Q$6,0))</x:f>
      </x:c>
    </x:row>
    <x:row r="34" ht="15" hidden="0" customHeight="1">
      <x:c r="A34" s="16"/>
      <x:c r="B34" s="16"/>
      <x:c r="C34" s="16"/>
      <x:c r="D34" s="16"/>
      <x:c r="E34" s="16"/>
      <x:c r="F34" s="16"/>
      <x:c r="G34" s="16"/>
      <x:c r="H34" s="16"/>
      <x:c r="I34" s="16"/>
      <x:c r="J34" s="31"/>
      <x:c r="K34" s="32" t="str">
        <x:f>IF($A34="","",ROUND($J34*'Assumptions'!F$6,0))</x:f>
      </x:c>
      <x:c r="L34" s="32" t="str">
        <x:f>IF($A34="","",ROUND($J34*'Assumptions'!G$6,0))</x:f>
      </x:c>
      <x:c r="M34" s="32" t="str">
        <x:f>IF($A34="","",ROUND($J34*'Assumptions'!H$6,0))</x:f>
      </x:c>
      <x:c r="N34" s="32" t="str">
        <x:f>IF($A34="","",ROUND($J34*'Assumptions'!I$6,0))</x:f>
      </x:c>
      <x:c r="O34" s="32" t="str">
        <x:f>IF($A34="","",ROUND($J34*'Assumptions'!J$6,0))</x:f>
      </x:c>
      <x:c r="P34" s="32" t="str">
        <x:f>IF($A34="","",ROUND($J34*'Assumptions'!K$6,0))</x:f>
      </x:c>
      <x:c r="Q34" s="32" t="str">
        <x:f>IF($A34="","",ROUND($J34*'Assumptions'!L$6,0))</x:f>
      </x:c>
      <x:c r="R34" s="32" t="str">
        <x:f>IF($A34="","",ROUND($J34*'Assumptions'!M$6,0))</x:f>
      </x:c>
      <x:c r="S34" s="32" t="str">
        <x:f>IF($A34="","",ROUND($J34*'Assumptions'!N$6,0))</x:f>
      </x:c>
      <x:c r="T34" s="32" t="str">
        <x:f>IF($A34="","",ROUND($J34*'Assumptions'!O$6,0))</x:f>
      </x:c>
      <x:c r="U34" s="32" t="str">
        <x:f>IF($A34="","",ROUND($J34*'Assumptions'!P$6,0))</x:f>
      </x:c>
      <x:c r="V34" s="32" t="str">
        <x:f>IF($A34="","",ROUND($J34*'Assumptions'!Q$6,0))</x:f>
      </x:c>
    </x:row>
    <x:row r="35" ht="15" hidden="0" customHeight="1">
      <x:c r="A35" s="16"/>
      <x:c r="B35" s="16"/>
      <x:c r="C35" s="16"/>
      <x:c r="D35" s="16"/>
      <x:c r="E35" s="16"/>
      <x:c r="F35" s="16"/>
      <x:c r="G35" s="16"/>
      <x:c r="H35" s="16"/>
      <x:c r="I35" s="16"/>
      <x:c r="J35" s="31"/>
      <x:c r="K35" s="32" t="str">
        <x:f>IF($A35="","",ROUND($J35*'Assumptions'!F$6,0))</x:f>
      </x:c>
      <x:c r="L35" s="32" t="str">
        <x:f>IF($A35="","",ROUND($J35*'Assumptions'!G$6,0))</x:f>
      </x:c>
      <x:c r="M35" s="32" t="str">
        <x:f>IF($A35="","",ROUND($J35*'Assumptions'!H$6,0))</x:f>
      </x:c>
      <x:c r="N35" s="32" t="str">
        <x:f>IF($A35="","",ROUND($J35*'Assumptions'!I$6,0))</x:f>
      </x:c>
      <x:c r="O35" s="32" t="str">
        <x:f>IF($A35="","",ROUND($J35*'Assumptions'!J$6,0))</x:f>
      </x:c>
      <x:c r="P35" s="32" t="str">
        <x:f>IF($A35="","",ROUND($J35*'Assumptions'!K$6,0))</x:f>
      </x:c>
      <x:c r="Q35" s="32" t="str">
        <x:f>IF($A35="","",ROUND($J35*'Assumptions'!L$6,0))</x:f>
      </x:c>
      <x:c r="R35" s="32" t="str">
        <x:f>IF($A35="","",ROUND($J35*'Assumptions'!M$6,0))</x:f>
      </x:c>
      <x:c r="S35" s="32" t="str">
        <x:f>IF($A35="","",ROUND($J35*'Assumptions'!N$6,0))</x:f>
      </x:c>
      <x:c r="T35" s="32" t="str">
        <x:f>IF($A35="","",ROUND($J35*'Assumptions'!O$6,0))</x:f>
      </x:c>
      <x:c r="U35" s="32" t="str">
        <x:f>IF($A35="","",ROUND($J35*'Assumptions'!P$6,0))</x:f>
      </x:c>
      <x:c r="V35" s="32" t="str">
        <x:f>IF($A35="","",ROUND($J35*'Assumptions'!Q$6,0))</x:f>
      </x:c>
    </x:row>
    <x:row r="36" ht="15" hidden="0" customHeight="1">
      <x:c r="A36" s="16"/>
      <x:c r="B36" s="16"/>
      <x:c r="C36" s="16"/>
      <x:c r="D36" s="16"/>
      <x:c r="E36" s="16"/>
      <x:c r="F36" s="16"/>
      <x:c r="G36" s="16"/>
      <x:c r="H36" s="16"/>
      <x:c r="I36" s="16"/>
      <x:c r="J36" s="31"/>
      <x:c r="K36" s="32" t="str">
        <x:f>IF($A36="","",ROUND($J36*'Assumptions'!F$6,0))</x:f>
      </x:c>
      <x:c r="L36" s="32" t="str">
        <x:f>IF($A36="","",ROUND($J36*'Assumptions'!G$6,0))</x:f>
      </x:c>
      <x:c r="M36" s="32" t="str">
        <x:f>IF($A36="","",ROUND($J36*'Assumptions'!H$6,0))</x:f>
      </x:c>
      <x:c r="N36" s="32" t="str">
        <x:f>IF($A36="","",ROUND($J36*'Assumptions'!I$6,0))</x:f>
      </x:c>
      <x:c r="O36" s="32" t="str">
        <x:f>IF($A36="","",ROUND($J36*'Assumptions'!J$6,0))</x:f>
      </x:c>
      <x:c r="P36" s="32" t="str">
        <x:f>IF($A36="","",ROUND($J36*'Assumptions'!K$6,0))</x:f>
      </x:c>
      <x:c r="Q36" s="32" t="str">
        <x:f>IF($A36="","",ROUND($J36*'Assumptions'!L$6,0))</x:f>
      </x:c>
      <x:c r="R36" s="32" t="str">
        <x:f>IF($A36="","",ROUND($J36*'Assumptions'!M$6,0))</x:f>
      </x:c>
      <x:c r="S36" s="32" t="str">
        <x:f>IF($A36="","",ROUND($J36*'Assumptions'!N$6,0))</x:f>
      </x:c>
      <x:c r="T36" s="32" t="str">
        <x:f>IF($A36="","",ROUND($J36*'Assumptions'!O$6,0))</x:f>
      </x:c>
      <x:c r="U36" s="32" t="str">
        <x:f>IF($A36="","",ROUND($J36*'Assumptions'!P$6,0))</x:f>
      </x:c>
      <x:c r="V36" s="32" t="str">
        <x:f>IF($A36="","",ROUND($J36*'Assumptions'!Q$6,0))</x:f>
      </x:c>
    </x:row>
  </x:sheetData>
  <x:mergeCells>
    <x:mergeCell ref="A1:V1"/>
    <x:mergeCell ref="A2:P2"/>
    <x:mergeCell ref="A4:V4"/>
  </x:mergeCells>
  <x:dataValidations count="2">
    <x:dataValidation type="list" sqref="F7:F36">
      <x:formula1>"CapEx,OpEx"</x:formula1>
    </x:dataValidation>
    <x:dataValidation type="list" sqref="G7:G36">
      <x:formula1>"Run,Change,Transform"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5f983b40084c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28" hidden="0" customWidth="1"/>
    <x:col min="4" max="4" width="15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36" hidden="0" customWidth="1"/>
  </x:cols>
  <x:sheetData>
    <x:row r="1" ht="19.200000762939453" hidden="0" customHeight="1">
      <x:c r="A1" s="4" t="str">
        <x:v>IT Budget — Monthly Control, Forecast &amp; Exception Management</x:v>
      </x:c>
      <x:c r="B1" s="4" t="str">
        <x:v>IT Budget — Monthly Control, Forecast &amp; Exception Management</x:v>
      </x:c>
      <x:c r="C1" s="4" t="str">
        <x:v>IT Budget — Monthly Control, Forecast &amp; Exception Management</x:v>
      </x:c>
      <x:c r="D1" s="4" t="str">
        <x:v>IT Budget — Monthly Control, Forecast &amp; Exception Management</x:v>
      </x:c>
      <x:c r="E1" s="4" t="str">
        <x:v>IT Budget — Monthly Control, Forecast &amp; Exception Management</x:v>
      </x:c>
      <x:c r="F1" s="4" t="str">
        <x:v>IT Budget — Monthly Control, Forecast &amp; Exception Management</x:v>
      </x:c>
      <x:c r="G1" s="4" t="str">
        <x:v>IT Budget — Monthly Control, Forecast &amp; Exception Management</x:v>
      </x:c>
      <x:c r="H1" s="4" t="str">
        <x:v>IT Budget — Monthly Control, Forecast &amp; Exception Management</x:v>
      </x:c>
      <x:c r="I1" s="4" t="str">
        <x:v>IT Budget — Monthly Control, Forecast &amp; Exception Management</x:v>
      </x:c>
      <x:c r="J1" s="4" t="str">
        <x:v>IT Budget — Monthly Control, Forecast &amp; Exception Management</x:v>
      </x:c>
      <x:c r="K1" s="4" t="str">
        <x:v>IT Budget — Monthly Control, Forecast &amp; Exception Management</x:v>
      </x:c>
      <x:c r="L1" s="4" t="str">
        <x:v>IT Budget — Monthly Control, Forecast &amp; Exception Management</x:v>
      </x:c>
      <x:c r="M1" s="4" t="str">
        <x:v>IT Budget — Monthly Control, Forecast &amp; Exception Management</x:v>
      </x:c>
      <x:c r="N1" s="4" t="str">
        <x:v>IT Budget — Monthly Control, Forecast &amp; Exception Management</x:v>
      </x:c>
      <x:c r="O1" s="4" t="str">
        <x:v>IT Budget — Monthly Control, Forecast &amp; Exception Management</x:v>
      </x:c>
      <x:c r="P1" s="4" t="str">
        <x:v>IT Budget — Monthly Control, Forecast &amp; Exception Management</x:v>
      </x:c>
      <x:c r="Q1" s="4" t="str">
        <x:v>IT Budget — Monthly Control, Forecast &amp; Exception Management</x:v>
      </x:c>
      <x:c r="R1" s="4" t="str">
        <x:v>IT Budget — Monthly Control, Forecast &amp; Exception Management</x:v>
      </x:c>
      <x:c r="S1" s="4" t="str">
        <x:v>IT Budget — Monthly Control, Forecast &amp; Exception Management</x:v>
      </x:c>
      <x:c r="T1" s="4" t="str">
        <x:v>IT Budget — Monthly Control, Forecast &amp; Exception Management</x:v>
      </x:c>
      <x:c r="U1" s="4" t="str">
        <x:v>IT Budget — Monthly Control, Forecast &amp; Exception Management</x:v>
      </x:c>
      <x:c r="V1" s="4" t="str">
        <x:v>IT Budget — Monthly Control, Forecast &amp; Exception Management</x:v>
      </x:c>
      <x:c r="W1" s="4" t="str">
        <x:v>IT Budget — Monthly Control, Forecast &amp; Exception Management</x:v>
      </x:c>
    </x:row>
    <x:row r="2" ht="15" hidden="0" customHeight="1">
      <x:c r="A2" s="7" t="str">
        <x:v>Input actuals monthly in yellow. Forecast and variance update automatically using the Reporting Month in Assumptions.</x:v>
      </x:c>
      <x:c r="B2" s="7" t="str">
        <x:v>Input actuals monthly in yellow. Forecast and variance update automatically using the Reporting Month in Assumptions.</x:v>
      </x:c>
      <x:c r="C2" s="7" t="str">
        <x:v>Input actuals monthly in yellow. Forecast and variance update automatically using the Reporting Month in Assumptions.</x:v>
      </x:c>
      <x:c r="D2" s="7" t="str">
        <x:v>Input actuals monthly in yellow. Forecast and variance update automatically using the Reporting Month in Assumptions.</x:v>
      </x:c>
      <x:c r="E2" s="7" t="str">
        <x:v>Input actuals monthly in yellow. Forecast and variance update automatically using the Reporting Month in Assumptions.</x:v>
      </x:c>
      <x:c r="F2" s="7" t="str">
        <x:v>Input actuals monthly in yellow. Forecast and variance update automatically using the Reporting Month in Assumptions.</x:v>
      </x:c>
      <x:c r="G2" s="7" t="str">
        <x:v>Input actuals monthly in yellow. Forecast and variance update automatically using the Reporting Month in Assumptions.</x:v>
      </x:c>
      <x:c r="H2" s="7" t="str">
        <x:v>Input actuals monthly in yellow. Forecast and variance update automatically using the Reporting Month in Assumptions.</x:v>
      </x:c>
      <x:c r="I2" s="7" t="str">
        <x:v>Input actuals monthly in yellow. Forecast and variance update automatically using the Reporting Month in Assumptions.</x:v>
      </x:c>
      <x:c r="J2" s="7" t="str">
        <x:v>Input actuals monthly in yellow. Forecast and variance update automatically using the Reporting Month in Assumptions.</x:v>
      </x:c>
      <x:c r="K2" s="7" t="str">
        <x:v>Input actuals monthly in yellow. Forecast and variance update automatically using the Reporting Month in Assumptions.</x:v>
      </x:c>
      <x:c r="L2" s="7" t="str">
        <x:v>Input actuals monthly in yellow. Forecast and variance update automatically using the Reporting Month in Assumptions.</x:v>
      </x:c>
      <x:c r="M2" s="7" t="str">
        <x:v>Input actuals monthly in yellow. Forecast and variance update automatically using the Reporting Month in Assumptions.</x:v>
      </x:c>
      <x:c r="N2" s="7" t="str">
        <x:v>Input actuals monthly in yellow. Forecast and variance update automatically using the Reporting Month in Assumptions.</x:v>
      </x:c>
      <x:c r="O2" s="7" t="str">
        <x:v>Input actuals monthly in yellow. Forecast and variance update automatically using the Reporting Month in Assumptions.</x:v>
      </x:c>
      <x:c r="P2" s="7" t="str">
        <x:v>Input actuals monthly in yellow. Forecast and variance update automatically using the Reporting Month in Assumptions.</x:v>
      </x:c>
    </x:row>
    <x:row r="3"/>
    <x:row r="4" ht="15" hidden="0" customHeight="1">
      <x:c r="A4" s="29" t="str">
        <x:f>"Report month: "&amp;CHOOSE('Assumptions'!$B$6,"Jan","Feb","Mar","Apr","May","Jun","Jul","Aug","Sep","Oct","Nov","Dec")&amp;" | Positive variance = overspend | Yellow = input; blue = formula"</x:f>
        <x:v>Report month: Jan | Positive variance = overspend | Yellow = input; blue = formula</x:v>
      </x:c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  <x:c r="R4" s="29"/>
      <x:c r="S4" s="29"/>
      <x:c r="T4" s="29"/>
      <x:c r="U4" s="29"/>
      <x:c r="V4" s="29"/>
      <x:c r="W4" s="29"/>
    </x:row>
    <x:row r="5"/>
    <x:row r="6" ht="15" hidden="0" customHeight="1">
      <x:c r="A6" s="22" t="str">
        <x:v>Budget ID</x:v>
      </x:c>
      <x:c r="B6" s="22" t="str">
        <x:v>Cost Center</x:v>
      </x:c>
      <x:c r="C6" s="22" t="str">
        <x:v>Service / Initiative</x:v>
      </x:c>
      <x:c r="D6" s="22" t="str">
        <x:v>Spend Type</x:v>
      </x:c>
      <x:c r="E6" s="22" t="str">
        <x:v>Cost Category</x:v>
      </x:c>
      <x:c r="F6" s="22" t="str">
        <x:v>Annual Budget</x:v>
      </x:c>
      <x:c r="G6" s="22" t="str">
        <x:v>Jan Actual</x:v>
      </x:c>
      <x:c r="H6" s="22" t="str">
        <x:v>Feb Actual</x:v>
      </x:c>
      <x:c r="I6" s="22" t="str">
        <x:v>Mar Actual</x:v>
      </x:c>
      <x:c r="J6" s="22" t="str">
        <x:v>Apr Actual</x:v>
      </x:c>
      <x:c r="K6" s="22" t="str">
        <x:v>May Actual</x:v>
      </x:c>
      <x:c r="L6" s="22" t="str">
        <x:v>Jun Actual</x:v>
      </x:c>
      <x:c r="M6" s="22" t="str">
        <x:v>Jul Actual</x:v>
      </x:c>
      <x:c r="N6" s="22" t="str">
        <x:v>Aug Actual</x:v>
      </x:c>
      <x:c r="O6" s="22" t="str">
        <x:v>Sep Actual</x:v>
      </x:c>
      <x:c r="P6" s="22" t="str">
        <x:v>Oct Actual</x:v>
      </x:c>
      <x:c r="Q6" s="22" t="str">
        <x:v>Nov Actual</x:v>
      </x:c>
      <x:c r="R6" s="22" t="str">
        <x:v>Dec Actual</x:v>
      </x:c>
      <x:c r="S6" s="22" t="str">
        <x:v>YTD Budget</x:v>
      </x:c>
      <x:c r="T6" s="22" t="str">
        <x:v>YTD Actual</x:v>
      </x:c>
      <x:c r="U6" s="22" t="str">
        <x:v>FY Forecast</x:v>
      </x:c>
      <x:c r="V6" s="22" t="str">
        <x:v>Variance</x:v>
      </x:c>
      <x:c r="W6" s="22" t="str">
        <x:v>Variance %</x:v>
      </x:c>
      <x:c r="X6" s="22" t="str">
        <x:v>Control Status</x:v>
      </x:c>
      <x:c r="Y6" s="22" t="str">
        <x:v>Action / Comment</x:v>
      </x:c>
    </x:row>
    <x:row r="7" ht="15" hidden="0" customHeight="1">
      <x:c r="A7" s="24" t="str">
        <x:f>IF('Budget Input'!A7="","",'Budget Input'!A7)</x:f>
        <x:v>IT-001</x:v>
      </x:c>
      <x:c r="B7" s="24" t="str">
        <x:f>IF('Budget Input'!A7="","",'Budget Input'!C7)</x:f>
        <x:v>CC-IT-100</x:v>
      </x:c>
      <x:c r="C7" s="24" t="str">
        <x:f>IF('Budget Input'!A7="","",'Budget Input'!D7)</x:f>
        <x:v>Cloud Infrastructure</x:v>
      </x:c>
      <x:c r="D7" s="24" t="str">
        <x:f>IF('Budget Input'!A7="","",'Budget Input'!F7)</x:f>
        <x:v>OpEx</x:v>
      </x:c>
      <x:c r="E7" s="24" t="str">
        <x:f>IF('Budget Input'!A7="","",'Budget Input'!H7)</x:f>
        <x:v>Cloud / Hosting</x:v>
      </x:c>
      <x:c r="F7" s="32" t="n">
        <x:f>IF('Budget Input'!A7="","",'Budget Input'!J7)</x:f>
        <x:v>1200000000</x:v>
      </x:c>
      <x:c r="G7" s="31" t="n">
        <x:v>0</x:v>
      </x:c>
      <x:c r="H7" s="31" t="n">
        <x:v>0</x:v>
      </x:c>
      <x:c r="I7" s="31" t="n">
        <x:v>0</x:v>
      </x:c>
      <x:c r="J7" s="31" t="n">
        <x:v>0</x:v>
      </x:c>
      <x:c r="K7" s="31" t="n">
        <x:v>0</x:v>
      </x:c>
      <x:c r="L7" s="31" t="n">
        <x:v>0</x:v>
      </x:c>
      <x:c r="M7" s="31" t="n">
        <x:v>0</x:v>
      </x:c>
      <x:c r="N7" s="31" t="n">
        <x:v>0</x:v>
      </x:c>
      <x:c r="O7" s="31" t="n">
        <x:v>0</x:v>
      </x:c>
      <x:c r="P7" s="31" t="n">
        <x:v>0</x:v>
      </x:c>
      <x:c r="Q7" s="31" t="n">
        <x:v>0</x:v>
      </x:c>
      <x:c r="R7" s="31" t="n">
        <x:v>0</x:v>
      </x:c>
      <x:c r="S7" s="32" t="n">
        <x:f>IF($A7="","",SUM('Budget Input'!$K7:INDEX('Budget Input'!$K7:$V7,1,'Assumptions'!$B$6)))</x:f>
        <x:v>84000000</x:v>
      </x:c>
      <x:c r="T7" s="32" t="n">
        <x:f>IF($A7="","",SUM($G7:INDEX($G7:$R7,1,'Assumptions'!$B$6)))</x:f>
        <x:v>0</x:v>
      </x:c>
      <x:c r="U7" s="32" t="n">
        <x:f>IF($A7="","",ROUND(SUM(IF('Assumptions'!$B$6&gt;=1,$G7,'Budget Input'!$K7),IF('Assumptions'!$B$6&gt;=2,$H7,'Budget Input'!$L7),IF('Assumptions'!$B$6&gt;=3,$I7,'Budget Input'!$M7),IF('Assumptions'!$B$6&gt;=4,$J7,'Budget Input'!$N7),IF('Assumptions'!$B$6&gt;=5,$K7,'Budget Input'!$O7),IF('Assumptions'!$B$6&gt;=6,$L7,'Budget Input'!$P7),IF('Assumptions'!$B$6&gt;=7,$M7,'Budget Input'!$Q7),IF('Assumptions'!$B$6&gt;=8,$N7,'Budget Input'!$R7),IF('Assumptions'!$B$6&gt;=9,$O7,'Budget Input'!$S7),IF('Assumptions'!$B$6&gt;=10,$P7,'Budget Input'!$T7),IF('Assumptions'!$B$6&gt;=11,$Q7,'Budget Input'!$U7),IF('Assumptions'!$B$6&gt;=12,$R7,'Budget Input'!$V7)),0))</x:f>
        <x:v>1116000000</x:v>
      </x:c>
      <x:c r="V7" s="32" t="n">
        <x:f>IF($A7="","",$U7-$F7)</x:f>
        <x:v>-84000000</x:v>
      </x:c>
      <x:c r="W7" s="25" t="n">
        <x:f>IF($A7="","",IFERROR($V7/$F7,0))</x:f>
        <x:v>-0.07</x:v>
      </x:c>
      <x:c r="X7" s="24" t="str">
        <x:f>IF($A7="","",IF(ABS($W7)&gt;='Assumptions'!$B$12,"ESCALATE",IF(ABS($W7)&gt;='Assumptions'!$B$11,"REVIEW","ON TRACK")))</x:f>
        <x:v>REVIEW</x:v>
      </x:c>
      <x:c r="Y7" s="16"/>
    </x:row>
    <x:row r="8" ht="15" hidden="0" customHeight="1">
      <x:c r="A8" s="24" t="str">
        <x:f>IF('Budget Input'!A8="","",'Budget Input'!A8)</x:f>
        <x:v>IT-002</x:v>
      </x:c>
      <x:c r="B8" s="24" t="str">
        <x:f>IF('Budget Input'!A8="","",'Budget Input'!C8)</x:f>
        <x:v>CC-IT-200</x:v>
      </x:c>
      <x:c r="C8" s="24" t="str">
        <x:f>IF('Budget Input'!A8="","",'Budget Input'!D8)</x:f>
        <x:v>Cybersecurity Program</x:v>
      </x:c>
      <x:c r="D8" s="24" t="str">
        <x:f>IF('Budget Input'!A8="","",'Budget Input'!F8)</x:f>
        <x:v>OpEx</x:v>
      </x:c>
      <x:c r="E8" s="24" t="str">
        <x:f>IF('Budget Input'!A8="","",'Budget Input'!H8)</x:f>
        <x:v>Security</x:v>
      </x:c>
      <x:c r="F8" s="32" t="n">
        <x:f>IF('Budget Input'!A8="","",'Budget Input'!J8)</x:f>
        <x:v>650000000</x:v>
      </x:c>
      <x:c r="G8" s="31" t="n">
        <x:v>0</x:v>
      </x:c>
      <x:c r="H8" s="31" t="n">
        <x:v>0</x:v>
      </x:c>
      <x:c r="I8" s="31" t="n">
        <x:v>0</x:v>
      </x:c>
      <x:c r="J8" s="31" t="n">
        <x:v>0</x:v>
      </x:c>
      <x:c r="K8" s="31" t="n">
        <x:v>0</x:v>
      </x:c>
      <x:c r="L8" s="31" t="n">
        <x:v>0</x:v>
      </x:c>
      <x:c r="M8" s="31" t="n">
        <x:v>0</x:v>
      </x:c>
      <x:c r="N8" s="31" t="n">
        <x:v>0</x:v>
      </x:c>
      <x:c r="O8" s="31" t="n">
        <x:v>0</x:v>
      </x:c>
      <x:c r="P8" s="31" t="n">
        <x:v>0</x:v>
      </x:c>
      <x:c r="Q8" s="31" t="n">
        <x:v>0</x:v>
      </x:c>
      <x:c r="R8" s="31" t="n">
        <x:v>0</x:v>
      </x:c>
      <x:c r="S8" s="32" t="n">
        <x:f>IF($A8="","",SUM('Budget Input'!$K8:INDEX('Budget Input'!$K8:$V8,1,'Assumptions'!$B$6)))</x:f>
        <x:v>45500000</x:v>
      </x:c>
      <x:c r="T8" s="32" t="n">
        <x:f>IF($A8="","",SUM($G8:INDEX($G8:$R8,1,'Assumptions'!$B$6)))</x:f>
        <x:v>0</x:v>
      </x:c>
      <x:c r="U8" s="32" t="n">
        <x:f>IF($A8="","",ROUND(SUM(IF('Assumptions'!$B$6&gt;=1,$G8,'Budget Input'!$K8),IF('Assumptions'!$B$6&gt;=2,$H8,'Budget Input'!$L8),IF('Assumptions'!$B$6&gt;=3,$I8,'Budget Input'!$M8),IF('Assumptions'!$B$6&gt;=4,$J8,'Budget Input'!$N8),IF('Assumptions'!$B$6&gt;=5,$K8,'Budget Input'!$O8),IF('Assumptions'!$B$6&gt;=6,$L8,'Budget Input'!$P8),IF('Assumptions'!$B$6&gt;=7,$M8,'Budget Input'!$Q8),IF('Assumptions'!$B$6&gt;=8,$N8,'Budget Input'!$R8),IF('Assumptions'!$B$6&gt;=9,$O8,'Budget Input'!$S8),IF('Assumptions'!$B$6&gt;=10,$P8,'Budget Input'!$T8),IF('Assumptions'!$B$6&gt;=11,$Q8,'Budget Input'!$U8),IF('Assumptions'!$B$6&gt;=12,$R8,'Budget Input'!$V8)),0))</x:f>
        <x:v>604500000</x:v>
      </x:c>
      <x:c r="V8" s="32" t="n">
        <x:f>IF($A8="","",$U8-$F8)</x:f>
        <x:v>-45500000</x:v>
      </x:c>
      <x:c r="W8" s="25" t="n">
        <x:f>IF($A8="","",IFERROR($V8/$F8,0))</x:f>
        <x:v>-0.07</x:v>
      </x:c>
      <x:c r="X8" s="24" t="str">
        <x:f>IF($A8="","",IF(ABS($W8)&gt;='Assumptions'!$B$12,"ESCALATE",IF(ABS($W8)&gt;='Assumptions'!$B$11,"REVIEW","ON TRACK")))</x:f>
        <x:v>REVIEW</x:v>
      </x:c>
      <x:c r="Y8" s="16"/>
    </x:row>
    <x:row r="9" ht="15" hidden="0" customHeight="1">
      <x:c r="A9" s="24" t="str">
        <x:f>IF('Budget Input'!A9="","",'Budget Input'!A9)</x:f>
        <x:v>IT-003</x:v>
      </x:c>
      <x:c r="B9" s="24" t="str">
        <x:f>IF('Budget Input'!A9="","",'Budget Input'!C9)</x:f>
        <x:v>CC-DIG-100</x:v>
      </x:c>
      <x:c r="C9" s="24" t="str">
        <x:f>IF('Budget Input'!A9="","",'Budget Input'!D9)</x:f>
        <x:v>ERP Modernization</x:v>
      </x:c>
      <x:c r="D9" s="24" t="str">
        <x:f>IF('Budget Input'!A9="","",'Budget Input'!F9)</x:f>
        <x:v>CapEx</x:v>
      </x:c>
      <x:c r="E9" s="24" t="str">
        <x:f>IF('Budget Input'!A9="","",'Budget Input'!H9)</x:f>
        <x:v>Applications</x:v>
      </x:c>
      <x:c r="F9" s="32" t="n">
        <x:f>IF('Budget Input'!A9="","",'Budget Input'!J9)</x:f>
        <x:v>1800000000</x:v>
      </x:c>
      <x:c r="G9" s="31" t="n">
        <x:v>0</x:v>
      </x:c>
      <x:c r="H9" s="31" t="n">
        <x:v>0</x:v>
      </x:c>
      <x:c r="I9" s="31" t="n">
        <x:v>0</x:v>
      </x:c>
      <x:c r="J9" s="31" t="n">
        <x:v>0</x:v>
      </x:c>
      <x:c r="K9" s="31" t="n">
        <x:v>0</x:v>
      </x:c>
      <x:c r="L9" s="31" t="n">
        <x:v>0</x:v>
      </x:c>
      <x:c r="M9" s="31" t="n">
        <x:v>0</x:v>
      </x:c>
      <x:c r="N9" s="31" t="n">
        <x:v>0</x:v>
      </x:c>
      <x:c r="O9" s="31" t="n">
        <x:v>0</x:v>
      </x:c>
      <x:c r="P9" s="31" t="n">
        <x:v>0</x:v>
      </x:c>
      <x:c r="Q9" s="31" t="n">
        <x:v>0</x:v>
      </x:c>
      <x:c r="R9" s="31" t="n">
        <x:v>0</x:v>
      </x:c>
      <x:c r="S9" s="32" t="n">
        <x:f>IF($A9="","",SUM('Budget Input'!$K9:INDEX('Budget Input'!$K9:$V9,1,'Assumptions'!$B$6)))</x:f>
        <x:v>126000000</x:v>
      </x:c>
      <x:c r="T9" s="32" t="n">
        <x:f>IF($A9="","",SUM($G9:INDEX($G9:$R9,1,'Assumptions'!$B$6)))</x:f>
        <x:v>0</x:v>
      </x:c>
      <x:c r="U9" s="32" t="n">
        <x:f>IF($A9="","",ROUND(SUM(IF('Assumptions'!$B$6&gt;=1,$G9,'Budget Input'!$K9),IF('Assumptions'!$B$6&gt;=2,$H9,'Budget Input'!$L9),IF('Assumptions'!$B$6&gt;=3,$I9,'Budget Input'!$M9),IF('Assumptions'!$B$6&gt;=4,$J9,'Budget Input'!$N9),IF('Assumptions'!$B$6&gt;=5,$K9,'Budget Input'!$O9),IF('Assumptions'!$B$6&gt;=6,$L9,'Budget Input'!$P9),IF('Assumptions'!$B$6&gt;=7,$M9,'Budget Input'!$Q9),IF('Assumptions'!$B$6&gt;=8,$N9,'Budget Input'!$R9),IF('Assumptions'!$B$6&gt;=9,$O9,'Budget Input'!$S9),IF('Assumptions'!$B$6&gt;=10,$P9,'Budget Input'!$T9),IF('Assumptions'!$B$6&gt;=11,$Q9,'Budget Input'!$U9),IF('Assumptions'!$B$6&gt;=12,$R9,'Budget Input'!$V9)),0))</x:f>
        <x:v>1674000000</x:v>
      </x:c>
      <x:c r="V9" s="32" t="n">
        <x:f>IF($A9="","",$U9-$F9)</x:f>
        <x:v>-126000000</x:v>
      </x:c>
      <x:c r="W9" s="25" t="n">
        <x:f>IF($A9="","",IFERROR($V9/$F9,0))</x:f>
        <x:v>-0.07</x:v>
      </x:c>
      <x:c r="X9" s="24" t="str">
        <x:f>IF($A9="","",IF(ABS($W9)&gt;='Assumptions'!$B$12,"ESCALATE",IF(ABS($W9)&gt;='Assumptions'!$B$11,"REVIEW","ON TRACK")))</x:f>
        <x:v>REVIEW</x:v>
      </x:c>
      <x:c r="Y9" s="16"/>
    </x:row>
    <x:row r="10" ht="15" hidden="0" customHeight="1">
      <x:c r="A10" s="24" t="str">
        <x:f>IF('Budget Input'!A10="","",'Budget Input'!A10)</x:f>
        <x:v>IT-004</x:v>
      </x:c>
      <x:c r="B10" s="24" t="str">
        <x:f>IF('Budget Input'!A10="","",'Budget Input'!C10)</x:f>
        <x:v>CC-IT-300</x:v>
      </x:c>
      <x:c r="C10" s="24" t="str">
        <x:f>IF('Budget Input'!A10="","",'Budget Input'!D10)</x:f>
        <x:v>End User Services</x:v>
      </x:c>
      <x:c r="D10" s="24" t="str">
        <x:f>IF('Budget Input'!A10="","",'Budget Input'!F10)</x:f>
        <x:v>OpEx</x:v>
      </x:c>
      <x:c r="E10" s="24" t="str">
        <x:f>IF('Budget Input'!A10="","",'Budget Input'!H10)</x:f>
        <x:v>Workplace &amp; Devices</x:v>
      </x:c>
      <x:c r="F10" s="32" t="n">
        <x:f>IF('Budget Input'!A10="","",'Budget Input'!J10)</x:f>
        <x:v>480000000</x:v>
      </x:c>
      <x:c r="G10" s="31" t="n">
        <x:v>0</x:v>
      </x:c>
      <x:c r="H10" s="31" t="n">
        <x:v>0</x:v>
      </x:c>
      <x:c r="I10" s="31" t="n">
        <x:v>0</x:v>
      </x:c>
      <x:c r="J10" s="31" t="n">
        <x:v>0</x:v>
      </x:c>
      <x:c r="K10" s="31" t="n">
        <x:v>0</x:v>
      </x:c>
      <x:c r="L10" s="31" t="n">
        <x:v>0</x:v>
      </x:c>
      <x:c r="M10" s="31" t="n">
        <x:v>0</x:v>
      </x:c>
      <x:c r="N10" s="31" t="n">
        <x:v>0</x:v>
      </x:c>
      <x:c r="O10" s="31" t="n">
        <x:v>0</x:v>
      </x:c>
      <x:c r="P10" s="31" t="n">
        <x:v>0</x:v>
      </x:c>
      <x:c r="Q10" s="31" t="n">
        <x:v>0</x:v>
      </x:c>
      <x:c r="R10" s="31" t="n">
        <x:v>0</x:v>
      </x:c>
      <x:c r="S10" s="32" t="n">
        <x:f>IF($A10="","",SUM('Budget Input'!$K10:INDEX('Budget Input'!$K10:$V10,1,'Assumptions'!$B$6)))</x:f>
        <x:v>33600000</x:v>
      </x:c>
      <x:c r="T10" s="32" t="n">
        <x:f>IF($A10="","",SUM($G10:INDEX($G10:$R10,1,'Assumptions'!$B$6)))</x:f>
        <x:v>0</x:v>
      </x:c>
      <x:c r="U10" s="32" t="n">
        <x:f>IF($A10="","",ROUND(SUM(IF('Assumptions'!$B$6&gt;=1,$G10,'Budget Input'!$K10),IF('Assumptions'!$B$6&gt;=2,$H10,'Budget Input'!$L10),IF('Assumptions'!$B$6&gt;=3,$I10,'Budget Input'!$M10),IF('Assumptions'!$B$6&gt;=4,$J10,'Budget Input'!$N10),IF('Assumptions'!$B$6&gt;=5,$K10,'Budget Input'!$O10),IF('Assumptions'!$B$6&gt;=6,$L10,'Budget Input'!$P10),IF('Assumptions'!$B$6&gt;=7,$M10,'Budget Input'!$Q10),IF('Assumptions'!$B$6&gt;=8,$N10,'Budget Input'!$R10),IF('Assumptions'!$B$6&gt;=9,$O10,'Budget Input'!$S10),IF('Assumptions'!$B$6&gt;=10,$P10,'Budget Input'!$T10),IF('Assumptions'!$B$6&gt;=11,$Q10,'Budget Input'!$U10),IF('Assumptions'!$B$6&gt;=12,$R10,'Budget Input'!$V10)),0))</x:f>
        <x:v>446400000</x:v>
      </x:c>
      <x:c r="V10" s="32" t="n">
        <x:f>IF($A10="","",$U10-$F10)</x:f>
        <x:v>-33600000</x:v>
      </x:c>
      <x:c r="W10" s="25" t="n">
        <x:f>IF($A10="","",IFERROR($V10/$F10,0))</x:f>
        <x:v>-0.07</x:v>
      </x:c>
      <x:c r="X10" s="24" t="str">
        <x:f>IF($A10="","",IF(ABS($W10)&gt;='Assumptions'!$B$12,"ESCALATE",IF(ABS($W10)&gt;='Assumptions'!$B$11,"REVIEW","ON TRACK")))</x:f>
        <x:v>REVIEW</x:v>
      </x:c>
      <x:c r="Y10" s="16"/>
    </x:row>
    <x:row r="11" ht="15" hidden="0" customHeight="1">
      <x:c r="A11" s="24" t="str">
        <x:f>IF('Budget Input'!A11="","",'Budget Input'!A11)</x:f>
        <x:v>IT-005</x:v>
      </x:c>
      <x:c r="B11" s="24" t="str">
        <x:f>IF('Budget Input'!A11="","",'Budget Input'!C11)</x:f>
        <x:v>CC-DIG-200</x:v>
      </x:c>
      <x:c r="C11" s="24" t="str">
        <x:f>IF('Budget Input'!A11="","",'Budget Input'!D11)</x:f>
        <x:v>Data &amp; Analytics</x:v>
      </x:c>
      <x:c r="D11" s="24" t="str">
        <x:f>IF('Budget Input'!A11="","",'Budget Input'!F11)</x:f>
        <x:v>CapEx</x:v>
      </x:c>
      <x:c r="E11" s="24" t="str">
        <x:f>IF('Budget Input'!A11="","",'Budget Input'!H11)</x:f>
        <x:v>Data Platform</x:v>
      </x:c>
      <x:c r="F11" s="32" t="n">
        <x:f>IF('Budget Input'!A11="","",'Budget Input'!J11)</x:f>
        <x:v>900000000</x:v>
      </x:c>
      <x:c r="G11" s="31" t="n">
        <x:v>0</x:v>
      </x:c>
      <x:c r="H11" s="31" t="n">
        <x:v>0</x:v>
      </x:c>
      <x:c r="I11" s="31" t="n">
        <x:v>0</x:v>
      </x:c>
      <x:c r="J11" s="31" t="n">
        <x:v>0</x:v>
      </x:c>
      <x:c r="K11" s="31" t="n">
        <x:v>0</x:v>
      </x:c>
      <x:c r="L11" s="31" t="n">
        <x:v>0</x:v>
      </x:c>
      <x:c r="M11" s="31" t="n">
        <x:v>0</x:v>
      </x:c>
      <x:c r="N11" s="31" t="n">
        <x:v>0</x:v>
      </x:c>
      <x:c r="O11" s="31" t="n">
        <x:v>0</x:v>
      </x:c>
      <x:c r="P11" s="31" t="n">
        <x:v>0</x:v>
      </x:c>
      <x:c r="Q11" s="31" t="n">
        <x:v>0</x:v>
      </x:c>
      <x:c r="R11" s="31" t="n">
        <x:v>0</x:v>
      </x:c>
      <x:c r="S11" s="32" t="n">
        <x:f>IF($A11="","",SUM('Budget Input'!$K11:INDEX('Budget Input'!$K11:$V11,1,'Assumptions'!$B$6)))</x:f>
        <x:v>63000000</x:v>
      </x:c>
      <x:c r="T11" s="32" t="n">
        <x:f>IF($A11="","",SUM($G11:INDEX($G11:$R11,1,'Assumptions'!$B$6)))</x:f>
        <x:v>0</x:v>
      </x:c>
      <x:c r="U11" s="32" t="n">
        <x:f>IF($A11="","",ROUND(SUM(IF('Assumptions'!$B$6&gt;=1,$G11,'Budget Input'!$K11),IF('Assumptions'!$B$6&gt;=2,$H11,'Budget Input'!$L11),IF('Assumptions'!$B$6&gt;=3,$I11,'Budget Input'!$M11),IF('Assumptions'!$B$6&gt;=4,$J11,'Budget Input'!$N11),IF('Assumptions'!$B$6&gt;=5,$K11,'Budget Input'!$O11),IF('Assumptions'!$B$6&gt;=6,$L11,'Budget Input'!$P11),IF('Assumptions'!$B$6&gt;=7,$M11,'Budget Input'!$Q11),IF('Assumptions'!$B$6&gt;=8,$N11,'Budget Input'!$R11),IF('Assumptions'!$B$6&gt;=9,$O11,'Budget Input'!$S11),IF('Assumptions'!$B$6&gt;=10,$P11,'Budget Input'!$T11),IF('Assumptions'!$B$6&gt;=11,$Q11,'Budget Input'!$U11),IF('Assumptions'!$B$6&gt;=12,$R11,'Budget Input'!$V11)),0))</x:f>
        <x:v>837000000</x:v>
      </x:c>
      <x:c r="V11" s="32" t="n">
        <x:f>IF($A11="","",$U11-$F11)</x:f>
        <x:v>-63000000</x:v>
      </x:c>
      <x:c r="W11" s="25" t="n">
        <x:f>IF($A11="","",IFERROR($V11/$F11,0))</x:f>
        <x:v>-0.07</x:v>
      </x:c>
      <x:c r="X11" s="24" t="str">
        <x:f>IF($A11="","",IF(ABS($W11)&gt;='Assumptions'!$B$12,"ESCALATE",IF(ABS($W11)&gt;='Assumptions'!$B$11,"REVIEW","ON TRACK")))</x:f>
        <x:v>REVIEW</x:v>
      </x:c>
      <x:c r="Y11" s="16"/>
    </x:row>
    <x:row r="12" ht="15" hidden="0" customHeight="1">
      <x:c r="A12" s="24" t="str">
        <x:f>IF('Budget Input'!A12="","",'Budget Input'!A12)</x:f>
      </x:c>
      <x:c r="B12" s="24" t="str">
        <x:f>IF('Budget Input'!A12="","",'Budget Input'!C12)</x:f>
      </x:c>
      <x:c r="C12" s="24" t="str">
        <x:f>IF('Budget Input'!A12="","",'Budget Input'!D12)</x:f>
      </x:c>
      <x:c r="D12" s="24" t="str">
        <x:f>IF('Budget Input'!A12="","",'Budget Input'!F12)</x:f>
      </x:c>
      <x:c r="E12" s="24" t="str">
        <x:f>IF('Budget Input'!A12="","",'Budget Input'!H12)</x:f>
      </x:c>
      <x:c r="F12" s="32" t="str">
        <x:f>IF('Budget Input'!A12="","",'Budget Input'!J12)</x:f>
      </x:c>
      <x:c r="G12" s="31" t="n">
        <x:v>0</x:v>
      </x:c>
      <x:c r="H12" s="31" t="n">
        <x:v>0</x:v>
      </x:c>
      <x:c r="I12" s="31" t="n">
        <x:v>0</x:v>
      </x:c>
      <x:c r="J12" s="31" t="n">
        <x:v>0</x:v>
      </x:c>
      <x:c r="K12" s="31" t="n">
        <x:v>0</x:v>
      </x:c>
      <x:c r="L12" s="31" t="n">
        <x:v>0</x:v>
      </x:c>
      <x:c r="M12" s="31" t="n">
        <x:v>0</x:v>
      </x:c>
      <x:c r="N12" s="31" t="n">
        <x:v>0</x:v>
      </x:c>
      <x:c r="O12" s="31" t="n">
        <x:v>0</x:v>
      </x:c>
      <x:c r="P12" s="31" t="n">
        <x:v>0</x:v>
      </x:c>
      <x:c r="Q12" s="31" t="n">
        <x:v>0</x:v>
      </x:c>
      <x:c r="R12" s="31" t="n">
        <x:v>0</x:v>
      </x:c>
      <x:c r="S12" s="32" t="str">
        <x:f>IF($A12="","",SUM('Budget Input'!$K12:INDEX('Budget Input'!$K12:$V12,1,'Assumptions'!$B$6)))</x:f>
      </x:c>
      <x:c r="T12" s="32" t="str">
        <x:f>IF($A12="","",SUM($G12:INDEX($G12:$R12,1,'Assumptions'!$B$6)))</x:f>
      </x:c>
      <x:c r="U12" s="32" t="str">
        <x:f>IF($A12="","",ROUND(SUM(IF('Assumptions'!$B$6&gt;=1,$G12,'Budget Input'!$K12),IF('Assumptions'!$B$6&gt;=2,$H12,'Budget Input'!$L12),IF('Assumptions'!$B$6&gt;=3,$I12,'Budget Input'!$M12),IF('Assumptions'!$B$6&gt;=4,$J12,'Budget Input'!$N12),IF('Assumptions'!$B$6&gt;=5,$K12,'Budget Input'!$O12),IF('Assumptions'!$B$6&gt;=6,$L12,'Budget Input'!$P12),IF('Assumptions'!$B$6&gt;=7,$M12,'Budget Input'!$Q12),IF('Assumptions'!$B$6&gt;=8,$N12,'Budget Input'!$R12),IF('Assumptions'!$B$6&gt;=9,$O12,'Budget Input'!$S12),IF('Assumptions'!$B$6&gt;=10,$P12,'Budget Input'!$T12),IF('Assumptions'!$B$6&gt;=11,$Q12,'Budget Input'!$U12),IF('Assumptions'!$B$6&gt;=12,$R12,'Budget Input'!$V12)),0))</x:f>
      </x:c>
      <x:c r="V12" s="32" t="str">
        <x:f>IF($A12="","",$U12-$F12)</x:f>
      </x:c>
      <x:c r="W12" s="25" t="str">
        <x:f>IF($A12="","",IFERROR($V12/$F12,0))</x:f>
      </x:c>
      <x:c r="X12" s="24" t="str">
        <x:f>IF($A12="","",IF(ABS($W12)&gt;='Assumptions'!$B$12,"ESCALATE",IF(ABS($W12)&gt;='Assumptions'!$B$11,"REVIEW","ON TRACK")))</x:f>
      </x:c>
      <x:c r="Y12" s="16"/>
    </x:row>
    <x:row r="13" ht="15" hidden="0" customHeight="1">
      <x:c r="A13" s="24" t="str">
        <x:f>IF('Budget Input'!A13="","",'Budget Input'!A13)</x:f>
      </x:c>
      <x:c r="B13" s="24" t="str">
        <x:f>IF('Budget Input'!A13="","",'Budget Input'!C13)</x:f>
      </x:c>
      <x:c r="C13" s="24" t="str">
        <x:f>IF('Budget Input'!A13="","",'Budget Input'!D13)</x:f>
      </x:c>
      <x:c r="D13" s="24" t="str">
        <x:f>IF('Budget Input'!A13="","",'Budget Input'!F13)</x:f>
      </x:c>
      <x:c r="E13" s="24" t="str">
        <x:f>IF('Budget Input'!A13="","",'Budget Input'!H13)</x:f>
      </x:c>
      <x:c r="F13" s="32" t="str">
        <x:f>IF('Budget Input'!A13="","",'Budget Input'!J13)</x:f>
      </x:c>
      <x:c r="G13" s="31" t="n">
        <x:v>0</x:v>
      </x:c>
      <x:c r="H13" s="31" t="n">
        <x:v>0</x:v>
      </x:c>
      <x:c r="I13" s="31" t="n">
        <x:v>0</x:v>
      </x:c>
      <x:c r="J13" s="31" t="n">
        <x:v>0</x:v>
      </x:c>
      <x:c r="K13" s="31" t="n">
        <x:v>0</x:v>
      </x:c>
      <x:c r="L13" s="31" t="n">
        <x:v>0</x:v>
      </x:c>
      <x:c r="M13" s="31" t="n">
        <x:v>0</x:v>
      </x:c>
      <x:c r="N13" s="31" t="n">
        <x:v>0</x:v>
      </x:c>
      <x:c r="O13" s="31" t="n">
        <x:v>0</x:v>
      </x:c>
      <x:c r="P13" s="31" t="n">
        <x:v>0</x:v>
      </x:c>
      <x:c r="Q13" s="31" t="n">
        <x:v>0</x:v>
      </x:c>
      <x:c r="R13" s="31" t="n">
        <x:v>0</x:v>
      </x:c>
      <x:c r="S13" s="32" t="str">
        <x:f>IF($A13="","",SUM('Budget Input'!$K13:INDEX('Budget Input'!$K13:$V13,1,'Assumptions'!$B$6)))</x:f>
      </x:c>
      <x:c r="T13" s="32" t="str">
        <x:f>IF($A13="","",SUM($G13:INDEX($G13:$R13,1,'Assumptions'!$B$6)))</x:f>
      </x:c>
      <x:c r="U13" s="32" t="str">
        <x:f>IF($A13="","",ROUND(SUM(IF('Assumptions'!$B$6&gt;=1,$G13,'Budget Input'!$K13),IF('Assumptions'!$B$6&gt;=2,$H13,'Budget Input'!$L13),IF('Assumptions'!$B$6&gt;=3,$I13,'Budget Input'!$M13),IF('Assumptions'!$B$6&gt;=4,$J13,'Budget Input'!$N13),IF('Assumptions'!$B$6&gt;=5,$K13,'Budget Input'!$O13),IF('Assumptions'!$B$6&gt;=6,$L13,'Budget Input'!$P13),IF('Assumptions'!$B$6&gt;=7,$M13,'Budget Input'!$Q13),IF('Assumptions'!$B$6&gt;=8,$N13,'Budget Input'!$R13),IF('Assumptions'!$B$6&gt;=9,$O13,'Budget Input'!$S13),IF('Assumptions'!$B$6&gt;=10,$P13,'Budget Input'!$T13),IF('Assumptions'!$B$6&gt;=11,$Q13,'Budget Input'!$U13),IF('Assumptions'!$B$6&gt;=12,$R13,'Budget Input'!$V13)),0))</x:f>
      </x:c>
      <x:c r="V13" s="32" t="str">
        <x:f>IF($A13="","",$U13-$F13)</x:f>
      </x:c>
      <x:c r="W13" s="25" t="str">
        <x:f>IF($A13="","",IFERROR($V13/$F13,0))</x:f>
      </x:c>
      <x:c r="X13" s="24" t="str">
        <x:f>IF($A13="","",IF(ABS($W13)&gt;='Assumptions'!$B$12,"ESCALATE",IF(ABS($W13)&gt;='Assumptions'!$B$11,"REVIEW","ON TRACK")))</x:f>
      </x:c>
      <x:c r="Y13" s="16"/>
    </x:row>
    <x:row r="14" ht="15" hidden="0" customHeight="1">
      <x:c r="A14" s="24" t="str">
        <x:f>IF('Budget Input'!A14="","",'Budget Input'!A14)</x:f>
      </x:c>
      <x:c r="B14" s="24" t="str">
        <x:f>IF('Budget Input'!A14="","",'Budget Input'!C14)</x:f>
      </x:c>
      <x:c r="C14" s="24" t="str">
        <x:f>IF('Budget Input'!A14="","",'Budget Input'!D14)</x:f>
      </x:c>
      <x:c r="D14" s="24" t="str">
        <x:f>IF('Budget Input'!A14="","",'Budget Input'!F14)</x:f>
      </x:c>
      <x:c r="E14" s="24" t="str">
        <x:f>IF('Budget Input'!A14="","",'Budget Input'!H14)</x:f>
      </x:c>
      <x:c r="F14" s="32" t="str">
        <x:f>IF('Budget Input'!A14="","",'Budget Input'!J14)</x:f>
      </x:c>
      <x:c r="G14" s="31" t="n">
        <x:v>0</x:v>
      </x:c>
      <x:c r="H14" s="31" t="n">
        <x:v>0</x:v>
      </x:c>
      <x:c r="I14" s="31" t="n">
        <x:v>0</x:v>
      </x:c>
      <x:c r="J14" s="31" t="n">
        <x:v>0</x:v>
      </x:c>
      <x:c r="K14" s="31" t="n">
        <x:v>0</x:v>
      </x:c>
      <x:c r="L14" s="31" t="n">
        <x:v>0</x:v>
      </x:c>
      <x:c r="M14" s="31" t="n">
        <x:v>0</x:v>
      </x:c>
      <x:c r="N14" s="31" t="n">
        <x:v>0</x:v>
      </x:c>
      <x:c r="O14" s="31" t="n">
        <x:v>0</x:v>
      </x:c>
      <x:c r="P14" s="31" t="n">
        <x:v>0</x:v>
      </x:c>
      <x:c r="Q14" s="31" t="n">
        <x:v>0</x:v>
      </x:c>
      <x:c r="R14" s="31" t="n">
        <x:v>0</x:v>
      </x:c>
      <x:c r="S14" s="32" t="str">
        <x:f>IF($A14="","",SUM('Budget Input'!$K14:INDEX('Budget Input'!$K14:$V14,1,'Assumptions'!$B$6)))</x:f>
      </x:c>
      <x:c r="T14" s="32" t="str">
        <x:f>IF($A14="","",SUM($G14:INDEX($G14:$R14,1,'Assumptions'!$B$6)))</x:f>
      </x:c>
      <x:c r="U14" s="32" t="str">
        <x:f>IF($A14="","",ROUND(SUM(IF('Assumptions'!$B$6&gt;=1,$G14,'Budget Input'!$K14),IF('Assumptions'!$B$6&gt;=2,$H14,'Budget Input'!$L14),IF('Assumptions'!$B$6&gt;=3,$I14,'Budget Input'!$M14),IF('Assumptions'!$B$6&gt;=4,$J14,'Budget Input'!$N14),IF('Assumptions'!$B$6&gt;=5,$K14,'Budget Input'!$O14),IF('Assumptions'!$B$6&gt;=6,$L14,'Budget Input'!$P14),IF('Assumptions'!$B$6&gt;=7,$M14,'Budget Input'!$Q14),IF('Assumptions'!$B$6&gt;=8,$N14,'Budget Input'!$R14),IF('Assumptions'!$B$6&gt;=9,$O14,'Budget Input'!$S14),IF('Assumptions'!$B$6&gt;=10,$P14,'Budget Input'!$T14),IF('Assumptions'!$B$6&gt;=11,$Q14,'Budget Input'!$U14),IF('Assumptions'!$B$6&gt;=12,$R14,'Budget Input'!$V14)),0))</x:f>
      </x:c>
      <x:c r="V14" s="32" t="str">
        <x:f>IF($A14="","",$U14-$F14)</x:f>
      </x:c>
      <x:c r="W14" s="25" t="str">
        <x:f>IF($A14="","",IFERROR($V14/$F14,0))</x:f>
      </x:c>
      <x:c r="X14" s="24" t="str">
        <x:f>IF($A14="","",IF(ABS($W14)&gt;='Assumptions'!$B$12,"ESCALATE",IF(ABS($W14)&gt;='Assumptions'!$B$11,"REVIEW","ON TRACK")))</x:f>
      </x:c>
      <x:c r="Y14" s="16"/>
    </x:row>
    <x:row r="15" ht="15" hidden="0" customHeight="1">
      <x:c r="A15" s="24" t="str">
        <x:f>IF('Budget Input'!A15="","",'Budget Input'!A15)</x:f>
      </x:c>
      <x:c r="B15" s="24" t="str">
        <x:f>IF('Budget Input'!A15="","",'Budget Input'!C15)</x:f>
      </x:c>
      <x:c r="C15" s="24" t="str">
        <x:f>IF('Budget Input'!A15="","",'Budget Input'!D15)</x:f>
      </x:c>
      <x:c r="D15" s="24" t="str">
        <x:f>IF('Budget Input'!A15="","",'Budget Input'!F15)</x:f>
      </x:c>
      <x:c r="E15" s="24" t="str">
        <x:f>IF('Budget Input'!A15="","",'Budget Input'!H15)</x:f>
      </x:c>
      <x:c r="F15" s="32" t="str">
        <x:f>IF('Budget Input'!A15="","",'Budget Input'!J15)</x:f>
      </x:c>
      <x:c r="G15" s="31" t="n">
        <x:v>0</x:v>
      </x:c>
      <x:c r="H15" s="31" t="n">
        <x:v>0</x:v>
      </x:c>
      <x:c r="I15" s="31" t="n">
        <x:v>0</x:v>
      </x:c>
      <x:c r="J15" s="31" t="n">
        <x:v>0</x:v>
      </x:c>
      <x:c r="K15" s="31" t="n">
        <x:v>0</x:v>
      </x:c>
      <x:c r="L15" s="31" t="n">
        <x:v>0</x:v>
      </x:c>
      <x:c r="M15" s="31" t="n">
        <x:v>0</x:v>
      </x:c>
      <x:c r="N15" s="31" t="n">
        <x:v>0</x:v>
      </x:c>
      <x:c r="O15" s="31" t="n">
        <x:v>0</x:v>
      </x:c>
      <x:c r="P15" s="31" t="n">
        <x:v>0</x:v>
      </x:c>
      <x:c r="Q15" s="31" t="n">
        <x:v>0</x:v>
      </x:c>
      <x:c r="R15" s="31" t="n">
        <x:v>0</x:v>
      </x:c>
      <x:c r="S15" s="32" t="str">
        <x:f>IF($A15="","",SUM('Budget Input'!$K15:INDEX('Budget Input'!$K15:$V15,1,'Assumptions'!$B$6)))</x:f>
      </x:c>
      <x:c r="T15" s="32" t="str">
        <x:f>IF($A15="","",SUM($G15:INDEX($G15:$R15,1,'Assumptions'!$B$6)))</x:f>
      </x:c>
      <x:c r="U15" s="32" t="str">
        <x:f>IF($A15="","",ROUND(SUM(IF('Assumptions'!$B$6&gt;=1,$G15,'Budget Input'!$K15),IF('Assumptions'!$B$6&gt;=2,$H15,'Budget Input'!$L15),IF('Assumptions'!$B$6&gt;=3,$I15,'Budget Input'!$M15),IF('Assumptions'!$B$6&gt;=4,$J15,'Budget Input'!$N15),IF('Assumptions'!$B$6&gt;=5,$K15,'Budget Input'!$O15),IF('Assumptions'!$B$6&gt;=6,$L15,'Budget Input'!$P15),IF('Assumptions'!$B$6&gt;=7,$M15,'Budget Input'!$Q15),IF('Assumptions'!$B$6&gt;=8,$N15,'Budget Input'!$R15),IF('Assumptions'!$B$6&gt;=9,$O15,'Budget Input'!$S15),IF('Assumptions'!$B$6&gt;=10,$P15,'Budget Input'!$T15),IF('Assumptions'!$B$6&gt;=11,$Q15,'Budget Input'!$U15),IF('Assumptions'!$B$6&gt;=12,$R15,'Budget Input'!$V15)),0))</x:f>
      </x:c>
      <x:c r="V15" s="32" t="str">
        <x:f>IF($A15="","",$U15-$F15)</x:f>
      </x:c>
      <x:c r="W15" s="25" t="str">
        <x:f>IF($A15="","",IFERROR($V15/$F15,0))</x:f>
      </x:c>
      <x:c r="X15" s="24" t="str">
        <x:f>IF($A15="","",IF(ABS($W15)&gt;='Assumptions'!$B$12,"ESCALATE",IF(ABS($W15)&gt;='Assumptions'!$B$11,"REVIEW","ON TRACK")))</x:f>
      </x:c>
      <x:c r="Y15" s="16"/>
    </x:row>
    <x:row r="16" ht="15" hidden="0" customHeight="1">
      <x:c r="A16" s="24" t="str">
        <x:f>IF('Budget Input'!A16="","",'Budget Input'!A16)</x:f>
      </x:c>
      <x:c r="B16" s="24" t="str">
        <x:f>IF('Budget Input'!A16="","",'Budget Input'!C16)</x:f>
      </x:c>
      <x:c r="C16" s="24" t="str">
        <x:f>IF('Budget Input'!A16="","",'Budget Input'!D16)</x:f>
      </x:c>
      <x:c r="D16" s="24" t="str">
        <x:f>IF('Budget Input'!A16="","",'Budget Input'!F16)</x:f>
      </x:c>
      <x:c r="E16" s="24" t="str">
        <x:f>IF('Budget Input'!A16="","",'Budget Input'!H16)</x:f>
      </x:c>
      <x:c r="F16" s="32" t="str">
        <x:f>IF('Budget Input'!A16="","",'Budget Input'!J16)</x:f>
      </x:c>
      <x:c r="G16" s="31" t="n">
        <x:v>0</x:v>
      </x:c>
      <x:c r="H16" s="31" t="n">
        <x:v>0</x:v>
      </x:c>
      <x:c r="I16" s="31" t="n">
        <x:v>0</x:v>
      </x:c>
      <x:c r="J16" s="31" t="n">
        <x:v>0</x:v>
      </x:c>
      <x:c r="K16" s="31" t="n">
        <x:v>0</x:v>
      </x:c>
      <x:c r="L16" s="31" t="n">
        <x:v>0</x:v>
      </x:c>
      <x:c r="M16" s="31" t="n">
        <x:v>0</x:v>
      </x:c>
      <x:c r="N16" s="31" t="n">
        <x:v>0</x:v>
      </x:c>
      <x:c r="O16" s="31" t="n">
        <x:v>0</x:v>
      </x:c>
      <x:c r="P16" s="31" t="n">
        <x:v>0</x:v>
      </x:c>
      <x:c r="Q16" s="31" t="n">
        <x:v>0</x:v>
      </x:c>
      <x:c r="R16" s="31" t="n">
        <x:v>0</x:v>
      </x:c>
      <x:c r="S16" s="32" t="str">
        <x:f>IF($A16="","",SUM('Budget Input'!$K16:INDEX('Budget Input'!$K16:$V16,1,'Assumptions'!$B$6)))</x:f>
      </x:c>
      <x:c r="T16" s="32" t="str">
        <x:f>IF($A16="","",SUM($G16:INDEX($G16:$R16,1,'Assumptions'!$B$6)))</x:f>
      </x:c>
      <x:c r="U16" s="32" t="str">
        <x:f>IF($A16="","",ROUND(SUM(IF('Assumptions'!$B$6&gt;=1,$G16,'Budget Input'!$K16),IF('Assumptions'!$B$6&gt;=2,$H16,'Budget Input'!$L16),IF('Assumptions'!$B$6&gt;=3,$I16,'Budget Input'!$M16),IF('Assumptions'!$B$6&gt;=4,$J16,'Budget Input'!$N16),IF('Assumptions'!$B$6&gt;=5,$K16,'Budget Input'!$O16),IF('Assumptions'!$B$6&gt;=6,$L16,'Budget Input'!$P16),IF('Assumptions'!$B$6&gt;=7,$M16,'Budget Input'!$Q16),IF('Assumptions'!$B$6&gt;=8,$N16,'Budget Input'!$R16),IF('Assumptions'!$B$6&gt;=9,$O16,'Budget Input'!$S16),IF('Assumptions'!$B$6&gt;=10,$P16,'Budget Input'!$T16),IF('Assumptions'!$B$6&gt;=11,$Q16,'Budget Input'!$U16),IF('Assumptions'!$B$6&gt;=12,$R16,'Budget Input'!$V16)),0))</x:f>
      </x:c>
      <x:c r="V16" s="32" t="str">
        <x:f>IF($A16="","",$U16-$F16)</x:f>
      </x:c>
      <x:c r="W16" s="25" t="str">
        <x:f>IF($A16="","",IFERROR($V16/$F16,0))</x:f>
      </x:c>
      <x:c r="X16" s="24" t="str">
        <x:f>IF($A16="","",IF(ABS($W16)&gt;='Assumptions'!$B$12,"ESCALATE",IF(ABS($W16)&gt;='Assumptions'!$B$11,"REVIEW","ON TRACK")))</x:f>
      </x:c>
      <x:c r="Y16" s="16"/>
    </x:row>
    <x:row r="17" ht="15" hidden="0" customHeight="1">
      <x:c r="A17" s="24" t="str">
        <x:f>IF('Budget Input'!A17="","",'Budget Input'!A17)</x:f>
      </x:c>
      <x:c r="B17" s="24" t="str">
        <x:f>IF('Budget Input'!A17="","",'Budget Input'!C17)</x:f>
      </x:c>
      <x:c r="C17" s="24" t="str">
        <x:f>IF('Budget Input'!A17="","",'Budget Input'!D17)</x:f>
      </x:c>
      <x:c r="D17" s="24" t="str">
        <x:f>IF('Budget Input'!A17="","",'Budget Input'!F17)</x:f>
      </x:c>
      <x:c r="E17" s="24" t="str">
        <x:f>IF('Budget Input'!A17="","",'Budget Input'!H17)</x:f>
      </x:c>
      <x:c r="F17" s="32" t="str">
        <x:f>IF('Budget Input'!A17="","",'Budget Input'!J17)</x:f>
      </x:c>
      <x:c r="G17" s="31" t="n">
        <x:v>0</x:v>
      </x:c>
      <x:c r="H17" s="31" t="n">
        <x:v>0</x:v>
      </x:c>
      <x:c r="I17" s="31" t="n">
        <x:v>0</x:v>
      </x:c>
      <x:c r="J17" s="31" t="n">
        <x:v>0</x:v>
      </x:c>
      <x:c r="K17" s="31" t="n">
        <x:v>0</x:v>
      </x:c>
      <x:c r="L17" s="31" t="n">
        <x:v>0</x:v>
      </x:c>
      <x:c r="M17" s="31" t="n">
        <x:v>0</x:v>
      </x:c>
      <x:c r="N17" s="31" t="n">
        <x:v>0</x:v>
      </x:c>
      <x:c r="O17" s="31" t="n">
        <x:v>0</x:v>
      </x:c>
      <x:c r="P17" s="31" t="n">
        <x:v>0</x:v>
      </x:c>
      <x:c r="Q17" s="31" t="n">
        <x:v>0</x:v>
      </x:c>
      <x:c r="R17" s="31" t="n">
        <x:v>0</x:v>
      </x:c>
      <x:c r="S17" s="32" t="str">
        <x:f>IF($A17="","",SUM('Budget Input'!$K17:INDEX('Budget Input'!$K17:$V17,1,'Assumptions'!$B$6)))</x:f>
      </x:c>
      <x:c r="T17" s="32" t="str">
        <x:f>IF($A17="","",SUM($G17:INDEX($G17:$R17,1,'Assumptions'!$B$6)))</x:f>
      </x:c>
      <x:c r="U17" s="32" t="str">
        <x:f>IF($A17="","",ROUND(SUM(IF('Assumptions'!$B$6&gt;=1,$G17,'Budget Input'!$K17),IF('Assumptions'!$B$6&gt;=2,$H17,'Budget Input'!$L17),IF('Assumptions'!$B$6&gt;=3,$I17,'Budget Input'!$M17),IF('Assumptions'!$B$6&gt;=4,$J17,'Budget Input'!$N17),IF('Assumptions'!$B$6&gt;=5,$K17,'Budget Input'!$O17),IF('Assumptions'!$B$6&gt;=6,$L17,'Budget Input'!$P17),IF('Assumptions'!$B$6&gt;=7,$M17,'Budget Input'!$Q17),IF('Assumptions'!$B$6&gt;=8,$N17,'Budget Input'!$R17),IF('Assumptions'!$B$6&gt;=9,$O17,'Budget Input'!$S17),IF('Assumptions'!$B$6&gt;=10,$P17,'Budget Input'!$T17),IF('Assumptions'!$B$6&gt;=11,$Q17,'Budget Input'!$U17),IF('Assumptions'!$B$6&gt;=12,$R17,'Budget Input'!$V17)),0))</x:f>
      </x:c>
      <x:c r="V17" s="32" t="str">
        <x:f>IF($A17="","",$U17-$F17)</x:f>
      </x:c>
      <x:c r="W17" s="25" t="str">
        <x:f>IF($A17="","",IFERROR($V17/$F17,0))</x:f>
      </x:c>
      <x:c r="X17" s="24" t="str">
        <x:f>IF($A17="","",IF(ABS($W17)&gt;='Assumptions'!$B$12,"ESCALATE",IF(ABS($W17)&gt;='Assumptions'!$B$11,"REVIEW","ON TRACK")))</x:f>
      </x:c>
      <x:c r="Y17" s="16"/>
    </x:row>
    <x:row r="18" ht="15" hidden="0" customHeight="1">
      <x:c r="A18" s="24" t="str">
        <x:f>IF('Budget Input'!A18="","",'Budget Input'!A18)</x:f>
      </x:c>
      <x:c r="B18" s="24" t="str">
        <x:f>IF('Budget Input'!A18="","",'Budget Input'!C18)</x:f>
      </x:c>
      <x:c r="C18" s="24" t="str">
        <x:f>IF('Budget Input'!A18="","",'Budget Input'!D18)</x:f>
      </x:c>
      <x:c r="D18" s="24" t="str">
        <x:f>IF('Budget Input'!A18="","",'Budget Input'!F18)</x:f>
      </x:c>
      <x:c r="E18" s="24" t="str">
        <x:f>IF('Budget Input'!A18="","",'Budget Input'!H18)</x:f>
      </x:c>
      <x:c r="F18" s="32" t="str">
        <x:f>IF('Budget Input'!A18="","",'Budget Input'!J18)</x:f>
      </x:c>
      <x:c r="G18" s="31" t="n">
        <x:v>0</x:v>
      </x:c>
      <x:c r="H18" s="31" t="n">
        <x:v>0</x:v>
      </x:c>
      <x:c r="I18" s="31" t="n">
        <x:v>0</x:v>
      </x:c>
      <x:c r="J18" s="31" t="n">
        <x:v>0</x:v>
      </x:c>
      <x:c r="K18" s="31" t="n">
        <x:v>0</x:v>
      </x:c>
      <x:c r="L18" s="31" t="n">
        <x:v>0</x:v>
      </x:c>
      <x:c r="M18" s="31" t="n">
        <x:v>0</x:v>
      </x:c>
      <x:c r="N18" s="31" t="n">
        <x:v>0</x:v>
      </x:c>
      <x:c r="O18" s="31" t="n">
        <x:v>0</x:v>
      </x:c>
      <x:c r="P18" s="31" t="n">
        <x:v>0</x:v>
      </x:c>
      <x:c r="Q18" s="31" t="n">
        <x:v>0</x:v>
      </x:c>
      <x:c r="R18" s="31" t="n">
        <x:v>0</x:v>
      </x:c>
      <x:c r="S18" s="32" t="str">
        <x:f>IF($A18="","",SUM('Budget Input'!$K18:INDEX('Budget Input'!$K18:$V18,1,'Assumptions'!$B$6)))</x:f>
      </x:c>
      <x:c r="T18" s="32" t="str">
        <x:f>IF($A18="","",SUM($G18:INDEX($G18:$R18,1,'Assumptions'!$B$6)))</x:f>
      </x:c>
      <x:c r="U18" s="32" t="str">
        <x:f>IF($A18="","",ROUND(SUM(IF('Assumptions'!$B$6&gt;=1,$G18,'Budget Input'!$K18),IF('Assumptions'!$B$6&gt;=2,$H18,'Budget Input'!$L18),IF('Assumptions'!$B$6&gt;=3,$I18,'Budget Input'!$M18),IF('Assumptions'!$B$6&gt;=4,$J18,'Budget Input'!$N18),IF('Assumptions'!$B$6&gt;=5,$K18,'Budget Input'!$O18),IF('Assumptions'!$B$6&gt;=6,$L18,'Budget Input'!$P18),IF('Assumptions'!$B$6&gt;=7,$M18,'Budget Input'!$Q18),IF('Assumptions'!$B$6&gt;=8,$N18,'Budget Input'!$R18),IF('Assumptions'!$B$6&gt;=9,$O18,'Budget Input'!$S18),IF('Assumptions'!$B$6&gt;=10,$P18,'Budget Input'!$T18),IF('Assumptions'!$B$6&gt;=11,$Q18,'Budget Input'!$U18),IF('Assumptions'!$B$6&gt;=12,$R18,'Budget Input'!$V18)),0))</x:f>
      </x:c>
      <x:c r="V18" s="32" t="str">
        <x:f>IF($A18="","",$U18-$F18)</x:f>
      </x:c>
      <x:c r="W18" s="25" t="str">
        <x:f>IF($A18="","",IFERROR($V18/$F18,0))</x:f>
      </x:c>
      <x:c r="X18" s="24" t="str">
        <x:f>IF($A18="","",IF(ABS($W18)&gt;='Assumptions'!$B$12,"ESCALATE",IF(ABS($W18)&gt;='Assumptions'!$B$11,"REVIEW","ON TRACK")))</x:f>
      </x:c>
      <x:c r="Y18" s="16"/>
    </x:row>
    <x:row r="19" ht="15" hidden="0" customHeight="1">
      <x:c r="A19" s="24" t="str">
        <x:f>IF('Budget Input'!A19="","",'Budget Input'!A19)</x:f>
      </x:c>
      <x:c r="B19" s="24" t="str">
        <x:f>IF('Budget Input'!A19="","",'Budget Input'!C19)</x:f>
      </x:c>
      <x:c r="C19" s="24" t="str">
        <x:f>IF('Budget Input'!A19="","",'Budget Input'!D19)</x:f>
      </x:c>
      <x:c r="D19" s="24" t="str">
        <x:f>IF('Budget Input'!A19="","",'Budget Input'!F19)</x:f>
      </x:c>
      <x:c r="E19" s="24" t="str">
        <x:f>IF('Budget Input'!A19="","",'Budget Input'!H19)</x:f>
      </x:c>
      <x:c r="F19" s="32" t="str">
        <x:f>IF('Budget Input'!A19="","",'Budget Input'!J19)</x:f>
      </x:c>
      <x:c r="G19" s="31" t="n">
        <x:v>0</x:v>
      </x:c>
      <x:c r="H19" s="31" t="n">
        <x:v>0</x:v>
      </x:c>
      <x:c r="I19" s="31" t="n">
        <x:v>0</x:v>
      </x:c>
      <x:c r="J19" s="31" t="n">
        <x:v>0</x:v>
      </x:c>
      <x:c r="K19" s="31" t="n">
        <x:v>0</x:v>
      </x:c>
      <x:c r="L19" s="31" t="n">
        <x:v>0</x:v>
      </x:c>
      <x:c r="M19" s="31" t="n">
        <x:v>0</x:v>
      </x:c>
      <x:c r="N19" s="31" t="n">
        <x:v>0</x:v>
      </x:c>
      <x:c r="O19" s="31" t="n">
        <x:v>0</x:v>
      </x:c>
      <x:c r="P19" s="31" t="n">
        <x:v>0</x:v>
      </x:c>
      <x:c r="Q19" s="31" t="n">
        <x:v>0</x:v>
      </x:c>
      <x:c r="R19" s="31" t="n">
        <x:v>0</x:v>
      </x:c>
      <x:c r="S19" s="32" t="str">
        <x:f>IF($A19="","",SUM('Budget Input'!$K19:INDEX('Budget Input'!$K19:$V19,1,'Assumptions'!$B$6)))</x:f>
      </x:c>
      <x:c r="T19" s="32" t="str">
        <x:f>IF($A19="","",SUM($G19:INDEX($G19:$R19,1,'Assumptions'!$B$6)))</x:f>
      </x:c>
      <x:c r="U19" s="32" t="str">
        <x:f>IF($A19="","",ROUND(SUM(IF('Assumptions'!$B$6&gt;=1,$G19,'Budget Input'!$K19),IF('Assumptions'!$B$6&gt;=2,$H19,'Budget Input'!$L19),IF('Assumptions'!$B$6&gt;=3,$I19,'Budget Input'!$M19),IF('Assumptions'!$B$6&gt;=4,$J19,'Budget Input'!$N19),IF('Assumptions'!$B$6&gt;=5,$K19,'Budget Input'!$O19),IF('Assumptions'!$B$6&gt;=6,$L19,'Budget Input'!$P19),IF('Assumptions'!$B$6&gt;=7,$M19,'Budget Input'!$Q19),IF('Assumptions'!$B$6&gt;=8,$N19,'Budget Input'!$R19),IF('Assumptions'!$B$6&gt;=9,$O19,'Budget Input'!$S19),IF('Assumptions'!$B$6&gt;=10,$P19,'Budget Input'!$T19),IF('Assumptions'!$B$6&gt;=11,$Q19,'Budget Input'!$U19),IF('Assumptions'!$B$6&gt;=12,$R19,'Budget Input'!$V19)),0))</x:f>
      </x:c>
      <x:c r="V19" s="32" t="str">
        <x:f>IF($A19="","",$U19-$F19)</x:f>
      </x:c>
      <x:c r="W19" s="25" t="str">
        <x:f>IF($A19="","",IFERROR($V19/$F19,0))</x:f>
      </x:c>
      <x:c r="X19" s="24" t="str">
        <x:f>IF($A19="","",IF(ABS($W19)&gt;='Assumptions'!$B$12,"ESCALATE",IF(ABS($W19)&gt;='Assumptions'!$B$11,"REVIEW","ON TRACK")))</x:f>
      </x:c>
      <x:c r="Y19" s="16"/>
    </x:row>
    <x:row r="20" ht="15" hidden="0" customHeight="1">
      <x:c r="A20" s="24" t="str">
        <x:f>IF('Budget Input'!A20="","",'Budget Input'!A20)</x:f>
      </x:c>
      <x:c r="B20" s="24" t="str">
        <x:f>IF('Budget Input'!A20="","",'Budget Input'!C20)</x:f>
      </x:c>
      <x:c r="C20" s="24" t="str">
        <x:f>IF('Budget Input'!A20="","",'Budget Input'!D20)</x:f>
      </x:c>
      <x:c r="D20" s="24" t="str">
        <x:f>IF('Budget Input'!A20="","",'Budget Input'!F20)</x:f>
      </x:c>
      <x:c r="E20" s="24" t="str">
        <x:f>IF('Budget Input'!A20="","",'Budget Input'!H20)</x:f>
      </x:c>
      <x:c r="F20" s="32" t="str">
        <x:f>IF('Budget Input'!A20="","",'Budget Input'!J20)</x:f>
      </x:c>
      <x:c r="G20" s="31" t="n">
        <x:v>0</x:v>
      </x:c>
      <x:c r="H20" s="31" t="n">
        <x:v>0</x:v>
      </x:c>
      <x:c r="I20" s="31" t="n">
        <x:v>0</x:v>
      </x:c>
      <x:c r="J20" s="31" t="n">
        <x:v>0</x:v>
      </x:c>
      <x:c r="K20" s="31" t="n">
        <x:v>0</x:v>
      </x:c>
      <x:c r="L20" s="31" t="n">
        <x:v>0</x:v>
      </x:c>
      <x:c r="M20" s="31" t="n">
        <x:v>0</x:v>
      </x:c>
      <x:c r="N20" s="31" t="n">
        <x:v>0</x:v>
      </x:c>
      <x:c r="O20" s="31" t="n">
        <x:v>0</x:v>
      </x:c>
      <x:c r="P20" s="31" t="n">
        <x:v>0</x:v>
      </x:c>
      <x:c r="Q20" s="31" t="n">
        <x:v>0</x:v>
      </x:c>
      <x:c r="R20" s="31" t="n">
        <x:v>0</x:v>
      </x:c>
      <x:c r="S20" s="32" t="str">
        <x:f>IF($A20="","",SUM('Budget Input'!$K20:INDEX('Budget Input'!$K20:$V20,1,'Assumptions'!$B$6)))</x:f>
      </x:c>
      <x:c r="T20" s="32" t="str">
        <x:f>IF($A20="","",SUM($G20:INDEX($G20:$R20,1,'Assumptions'!$B$6)))</x:f>
      </x:c>
      <x:c r="U20" s="32" t="str">
        <x:f>IF($A20="","",ROUND(SUM(IF('Assumptions'!$B$6&gt;=1,$G20,'Budget Input'!$K20),IF('Assumptions'!$B$6&gt;=2,$H20,'Budget Input'!$L20),IF('Assumptions'!$B$6&gt;=3,$I20,'Budget Input'!$M20),IF('Assumptions'!$B$6&gt;=4,$J20,'Budget Input'!$N20),IF('Assumptions'!$B$6&gt;=5,$K20,'Budget Input'!$O20),IF('Assumptions'!$B$6&gt;=6,$L20,'Budget Input'!$P20),IF('Assumptions'!$B$6&gt;=7,$M20,'Budget Input'!$Q20),IF('Assumptions'!$B$6&gt;=8,$N20,'Budget Input'!$R20),IF('Assumptions'!$B$6&gt;=9,$O20,'Budget Input'!$S20),IF('Assumptions'!$B$6&gt;=10,$P20,'Budget Input'!$T20),IF('Assumptions'!$B$6&gt;=11,$Q20,'Budget Input'!$U20),IF('Assumptions'!$B$6&gt;=12,$R20,'Budget Input'!$V20)),0))</x:f>
      </x:c>
      <x:c r="V20" s="32" t="str">
        <x:f>IF($A20="","",$U20-$F20)</x:f>
      </x:c>
      <x:c r="W20" s="25" t="str">
        <x:f>IF($A20="","",IFERROR($V20/$F20,0))</x:f>
      </x:c>
      <x:c r="X20" s="24" t="str">
        <x:f>IF($A20="","",IF(ABS($W20)&gt;='Assumptions'!$B$12,"ESCALATE",IF(ABS($W20)&gt;='Assumptions'!$B$11,"REVIEW","ON TRACK")))</x:f>
      </x:c>
      <x:c r="Y20" s="16"/>
    </x:row>
    <x:row r="21" ht="15" hidden="0" customHeight="1">
      <x:c r="A21" s="24" t="str">
        <x:f>IF('Budget Input'!A21="","",'Budget Input'!A21)</x:f>
      </x:c>
      <x:c r="B21" s="24" t="str">
        <x:f>IF('Budget Input'!A21="","",'Budget Input'!C21)</x:f>
      </x:c>
      <x:c r="C21" s="24" t="str">
        <x:f>IF('Budget Input'!A21="","",'Budget Input'!D21)</x:f>
      </x:c>
      <x:c r="D21" s="24" t="str">
        <x:f>IF('Budget Input'!A21="","",'Budget Input'!F21)</x:f>
      </x:c>
      <x:c r="E21" s="24" t="str">
        <x:f>IF('Budget Input'!A21="","",'Budget Input'!H21)</x:f>
      </x:c>
      <x:c r="F21" s="32" t="str">
        <x:f>IF('Budget Input'!A21="","",'Budget Input'!J21)</x:f>
      </x:c>
      <x:c r="G21" s="31" t="n">
        <x:v>0</x:v>
      </x:c>
      <x:c r="H21" s="31" t="n">
        <x:v>0</x:v>
      </x:c>
      <x:c r="I21" s="31" t="n">
        <x:v>0</x:v>
      </x:c>
      <x:c r="J21" s="31" t="n">
        <x:v>0</x:v>
      </x:c>
      <x:c r="K21" s="31" t="n">
        <x:v>0</x:v>
      </x:c>
      <x:c r="L21" s="31" t="n">
        <x:v>0</x:v>
      </x:c>
      <x:c r="M21" s="31" t="n">
        <x:v>0</x:v>
      </x:c>
      <x:c r="N21" s="31" t="n">
        <x:v>0</x:v>
      </x:c>
      <x:c r="O21" s="31" t="n">
        <x:v>0</x:v>
      </x:c>
      <x:c r="P21" s="31" t="n">
        <x:v>0</x:v>
      </x:c>
      <x:c r="Q21" s="31" t="n">
        <x:v>0</x:v>
      </x:c>
      <x:c r="R21" s="31" t="n">
        <x:v>0</x:v>
      </x:c>
      <x:c r="S21" s="32" t="str">
        <x:f>IF($A21="","",SUM('Budget Input'!$K21:INDEX('Budget Input'!$K21:$V21,1,'Assumptions'!$B$6)))</x:f>
      </x:c>
      <x:c r="T21" s="32" t="str">
        <x:f>IF($A21="","",SUM($G21:INDEX($G21:$R21,1,'Assumptions'!$B$6)))</x:f>
      </x:c>
      <x:c r="U21" s="32" t="str">
        <x:f>IF($A21="","",ROUND(SUM(IF('Assumptions'!$B$6&gt;=1,$G21,'Budget Input'!$K21),IF('Assumptions'!$B$6&gt;=2,$H21,'Budget Input'!$L21),IF('Assumptions'!$B$6&gt;=3,$I21,'Budget Input'!$M21),IF('Assumptions'!$B$6&gt;=4,$J21,'Budget Input'!$N21),IF('Assumptions'!$B$6&gt;=5,$K21,'Budget Input'!$O21),IF('Assumptions'!$B$6&gt;=6,$L21,'Budget Input'!$P21),IF('Assumptions'!$B$6&gt;=7,$M21,'Budget Input'!$Q21),IF('Assumptions'!$B$6&gt;=8,$N21,'Budget Input'!$R21),IF('Assumptions'!$B$6&gt;=9,$O21,'Budget Input'!$S21),IF('Assumptions'!$B$6&gt;=10,$P21,'Budget Input'!$T21),IF('Assumptions'!$B$6&gt;=11,$Q21,'Budget Input'!$U21),IF('Assumptions'!$B$6&gt;=12,$R21,'Budget Input'!$V21)),0))</x:f>
      </x:c>
      <x:c r="V21" s="32" t="str">
        <x:f>IF($A21="","",$U21-$F21)</x:f>
      </x:c>
      <x:c r="W21" s="25" t="str">
        <x:f>IF($A21="","",IFERROR($V21/$F21,0))</x:f>
      </x:c>
      <x:c r="X21" s="24" t="str">
        <x:f>IF($A21="","",IF(ABS($W21)&gt;='Assumptions'!$B$12,"ESCALATE",IF(ABS($W21)&gt;='Assumptions'!$B$11,"REVIEW","ON TRACK")))</x:f>
      </x:c>
      <x:c r="Y21" s="16"/>
    </x:row>
    <x:row r="22" ht="15" hidden="0" customHeight="1">
      <x:c r="A22" s="24" t="str">
        <x:f>IF('Budget Input'!A22="","",'Budget Input'!A22)</x:f>
      </x:c>
      <x:c r="B22" s="24" t="str">
        <x:f>IF('Budget Input'!A22="","",'Budget Input'!C22)</x:f>
      </x:c>
      <x:c r="C22" s="24" t="str">
        <x:f>IF('Budget Input'!A22="","",'Budget Input'!D22)</x:f>
      </x:c>
      <x:c r="D22" s="24" t="str">
        <x:f>IF('Budget Input'!A22="","",'Budget Input'!F22)</x:f>
      </x:c>
      <x:c r="E22" s="24" t="str">
        <x:f>IF('Budget Input'!A22="","",'Budget Input'!H22)</x:f>
      </x:c>
      <x:c r="F22" s="32" t="str">
        <x:f>IF('Budget Input'!A22="","",'Budget Input'!J22)</x:f>
      </x:c>
      <x:c r="G22" s="31" t="n">
        <x:v>0</x:v>
      </x:c>
      <x:c r="H22" s="31" t="n">
        <x:v>0</x:v>
      </x:c>
      <x:c r="I22" s="31" t="n">
        <x:v>0</x:v>
      </x:c>
      <x:c r="J22" s="31" t="n">
        <x:v>0</x:v>
      </x:c>
      <x:c r="K22" s="31" t="n">
        <x:v>0</x:v>
      </x:c>
      <x:c r="L22" s="31" t="n">
        <x:v>0</x:v>
      </x:c>
      <x:c r="M22" s="31" t="n">
        <x:v>0</x:v>
      </x:c>
      <x:c r="N22" s="31" t="n">
        <x:v>0</x:v>
      </x:c>
      <x:c r="O22" s="31" t="n">
        <x:v>0</x:v>
      </x:c>
      <x:c r="P22" s="31" t="n">
        <x:v>0</x:v>
      </x:c>
      <x:c r="Q22" s="31" t="n">
        <x:v>0</x:v>
      </x:c>
      <x:c r="R22" s="31" t="n">
        <x:v>0</x:v>
      </x:c>
      <x:c r="S22" s="32" t="str">
        <x:f>IF($A22="","",SUM('Budget Input'!$K22:INDEX('Budget Input'!$K22:$V22,1,'Assumptions'!$B$6)))</x:f>
      </x:c>
      <x:c r="T22" s="32" t="str">
        <x:f>IF($A22="","",SUM($G22:INDEX($G22:$R22,1,'Assumptions'!$B$6)))</x:f>
      </x:c>
      <x:c r="U22" s="32" t="str">
        <x:f>IF($A22="","",ROUND(SUM(IF('Assumptions'!$B$6&gt;=1,$G22,'Budget Input'!$K22),IF('Assumptions'!$B$6&gt;=2,$H22,'Budget Input'!$L22),IF('Assumptions'!$B$6&gt;=3,$I22,'Budget Input'!$M22),IF('Assumptions'!$B$6&gt;=4,$J22,'Budget Input'!$N22),IF('Assumptions'!$B$6&gt;=5,$K22,'Budget Input'!$O22),IF('Assumptions'!$B$6&gt;=6,$L22,'Budget Input'!$P22),IF('Assumptions'!$B$6&gt;=7,$M22,'Budget Input'!$Q22),IF('Assumptions'!$B$6&gt;=8,$N22,'Budget Input'!$R22),IF('Assumptions'!$B$6&gt;=9,$O22,'Budget Input'!$S22),IF('Assumptions'!$B$6&gt;=10,$P22,'Budget Input'!$T22),IF('Assumptions'!$B$6&gt;=11,$Q22,'Budget Input'!$U22),IF('Assumptions'!$B$6&gt;=12,$R22,'Budget Input'!$V22)),0))</x:f>
      </x:c>
      <x:c r="V22" s="32" t="str">
        <x:f>IF($A22="","",$U22-$F22)</x:f>
      </x:c>
      <x:c r="W22" s="25" t="str">
        <x:f>IF($A22="","",IFERROR($V22/$F22,0))</x:f>
      </x:c>
      <x:c r="X22" s="24" t="str">
        <x:f>IF($A22="","",IF(ABS($W22)&gt;='Assumptions'!$B$12,"ESCALATE",IF(ABS($W22)&gt;='Assumptions'!$B$11,"REVIEW","ON TRACK")))</x:f>
      </x:c>
      <x:c r="Y22" s="16"/>
    </x:row>
    <x:row r="23" ht="15" hidden="0" customHeight="1">
      <x:c r="A23" s="24" t="str">
        <x:f>IF('Budget Input'!A23="","",'Budget Input'!A23)</x:f>
      </x:c>
      <x:c r="B23" s="24" t="str">
        <x:f>IF('Budget Input'!A23="","",'Budget Input'!C23)</x:f>
      </x:c>
      <x:c r="C23" s="24" t="str">
        <x:f>IF('Budget Input'!A23="","",'Budget Input'!D23)</x:f>
      </x:c>
      <x:c r="D23" s="24" t="str">
        <x:f>IF('Budget Input'!A23="","",'Budget Input'!F23)</x:f>
      </x:c>
      <x:c r="E23" s="24" t="str">
        <x:f>IF('Budget Input'!A23="","",'Budget Input'!H23)</x:f>
      </x:c>
      <x:c r="F23" s="32" t="str">
        <x:f>IF('Budget Input'!A23="","",'Budget Input'!J23)</x:f>
      </x:c>
      <x:c r="G23" s="31" t="n">
        <x:v>0</x:v>
      </x:c>
      <x:c r="H23" s="31" t="n">
        <x:v>0</x:v>
      </x:c>
      <x:c r="I23" s="31" t="n">
        <x:v>0</x:v>
      </x:c>
      <x:c r="J23" s="31" t="n">
        <x:v>0</x:v>
      </x:c>
      <x:c r="K23" s="31" t="n">
        <x:v>0</x:v>
      </x:c>
      <x:c r="L23" s="31" t="n">
        <x:v>0</x:v>
      </x:c>
      <x:c r="M23" s="31" t="n">
        <x:v>0</x:v>
      </x:c>
      <x:c r="N23" s="31" t="n">
        <x:v>0</x:v>
      </x:c>
      <x:c r="O23" s="31" t="n">
        <x:v>0</x:v>
      </x:c>
      <x:c r="P23" s="31" t="n">
        <x:v>0</x:v>
      </x:c>
      <x:c r="Q23" s="31" t="n">
        <x:v>0</x:v>
      </x:c>
      <x:c r="R23" s="31" t="n">
        <x:v>0</x:v>
      </x:c>
      <x:c r="S23" s="32" t="str">
        <x:f>IF($A23="","",SUM('Budget Input'!$K23:INDEX('Budget Input'!$K23:$V23,1,'Assumptions'!$B$6)))</x:f>
      </x:c>
      <x:c r="T23" s="32" t="str">
        <x:f>IF($A23="","",SUM($G23:INDEX($G23:$R23,1,'Assumptions'!$B$6)))</x:f>
      </x:c>
      <x:c r="U23" s="32" t="str">
        <x:f>IF($A23="","",ROUND(SUM(IF('Assumptions'!$B$6&gt;=1,$G23,'Budget Input'!$K23),IF('Assumptions'!$B$6&gt;=2,$H23,'Budget Input'!$L23),IF('Assumptions'!$B$6&gt;=3,$I23,'Budget Input'!$M23),IF('Assumptions'!$B$6&gt;=4,$J23,'Budget Input'!$N23),IF('Assumptions'!$B$6&gt;=5,$K23,'Budget Input'!$O23),IF('Assumptions'!$B$6&gt;=6,$L23,'Budget Input'!$P23),IF('Assumptions'!$B$6&gt;=7,$M23,'Budget Input'!$Q23),IF('Assumptions'!$B$6&gt;=8,$N23,'Budget Input'!$R23),IF('Assumptions'!$B$6&gt;=9,$O23,'Budget Input'!$S23),IF('Assumptions'!$B$6&gt;=10,$P23,'Budget Input'!$T23),IF('Assumptions'!$B$6&gt;=11,$Q23,'Budget Input'!$U23),IF('Assumptions'!$B$6&gt;=12,$R23,'Budget Input'!$V23)),0))</x:f>
      </x:c>
      <x:c r="V23" s="32" t="str">
        <x:f>IF($A23="","",$U23-$F23)</x:f>
      </x:c>
      <x:c r="W23" s="25" t="str">
        <x:f>IF($A23="","",IFERROR($V23/$F23,0))</x:f>
      </x:c>
      <x:c r="X23" s="24" t="str">
        <x:f>IF($A23="","",IF(ABS($W23)&gt;='Assumptions'!$B$12,"ESCALATE",IF(ABS($W23)&gt;='Assumptions'!$B$11,"REVIEW","ON TRACK")))</x:f>
      </x:c>
      <x:c r="Y23" s="16"/>
    </x:row>
    <x:row r="24" ht="15" hidden="0" customHeight="1">
      <x:c r="A24" s="24" t="str">
        <x:f>IF('Budget Input'!A24="","",'Budget Input'!A24)</x:f>
      </x:c>
      <x:c r="B24" s="24" t="str">
        <x:f>IF('Budget Input'!A24="","",'Budget Input'!C24)</x:f>
      </x:c>
      <x:c r="C24" s="24" t="str">
        <x:f>IF('Budget Input'!A24="","",'Budget Input'!D24)</x:f>
      </x:c>
      <x:c r="D24" s="24" t="str">
        <x:f>IF('Budget Input'!A24="","",'Budget Input'!F24)</x:f>
      </x:c>
      <x:c r="E24" s="24" t="str">
        <x:f>IF('Budget Input'!A24="","",'Budget Input'!H24)</x:f>
      </x:c>
      <x:c r="F24" s="32" t="str">
        <x:f>IF('Budget Input'!A24="","",'Budget Input'!J24)</x:f>
      </x:c>
      <x:c r="G24" s="31" t="n">
        <x:v>0</x:v>
      </x:c>
      <x:c r="H24" s="31" t="n">
        <x:v>0</x:v>
      </x:c>
      <x:c r="I24" s="31" t="n">
        <x:v>0</x:v>
      </x:c>
      <x:c r="J24" s="31" t="n">
        <x:v>0</x:v>
      </x:c>
      <x:c r="K24" s="31" t="n">
        <x:v>0</x:v>
      </x:c>
      <x:c r="L24" s="31" t="n">
        <x:v>0</x:v>
      </x:c>
      <x:c r="M24" s="31" t="n">
        <x:v>0</x:v>
      </x:c>
      <x:c r="N24" s="31" t="n">
        <x:v>0</x:v>
      </x:c>
      <x:c r="O24" s="31" t="n">
        <x:v>0</x:v>
      </x:c>
      <x:c r="P24" s="31" t="n">
        <x:v>0</x:v>
      </x:c>
      <x:c r="Q24" s="31" t="n">
        <x:v>0</x:v>
      </x:c>
      <x:c r="R24" s="31" t="n">
        <x:v>0</x:v>
      </x:c>
      <x:c r="S24" s="32" t="str">
        <x:f>IF($A24="","",SUM('Budget Input'!$K24:INDEX('Budget Input'!$K24:$V24,1,'Assumptions'!$B$6)))</x:f>
      </x:c>
      <x:c r="T24" s="32" t="str">
        <x:f>IF($A24="","",SUM($G24:INDEX($G24:$R24,1,'Assumptions'!$B$6)))</x:f>
      </x:c>
      <x:c r="U24" s="32" t="str">
        <x:f>IF($A24="","",ROUND(SUM(IF('Assumptions'!$B$6&gt;=1,$G24,'Budget Input'!$K24),IF('Assumptions'!$B$6&gt;=2,$H24,'Budget Input'!$L24),IF('Assumptions'!$B$6&gt;=3,$I24,'Budget Input'!$M24),IF('Assumptions'!$B$6&gt;=4,$J24,'Budget Input'!$N24),IF('Assumptions'!$B$6&gt;=5,$K24,'Budget Input'!$O24),IF('Assumptions'!$B$6&gt;=6,$L24,'Budget Input'!$P24),IF('Assumptions'!$B$6&gt;=7,$M24,'Budget Input'!$Q24),IF('Assumptions'!$B$6&gt;=8,$N24,'Budget Input'!$R24),IF('Assumptions'!$B$6&gt;=9,$O24,'Budget Input'!$S24),IF('Assumptions'!$B$6&gt;=10,$P24,'Budget Input'!$T24),IF('Assumptions'!$B$6&gt;=11,$Q24,'Budget Input'!$U24),IF('Assumptions'!$B$6&gt;=12,$R24,'Budget Input'!$V24)),0))</x:f>
      </x:c>
      <x:c r="V24" s="32" t="str">
        <x:f>IF($A24="","",$U24-$F24)</x:f>
      </x:c>
      <x:c r="W24" s="25" t="str">
        <x:f>IF($A24="","",IFERROR($V24/$F24,0))</x:f>
      </x:c>
      <x:c r="X24" s="24" t="str">
        <x:f>IF($A24="","",IF(ABS($W24)&gt;='Assumptions'!$B$12,"ESCALATE",IF(ABS($W24)&gt;='Assumptions'!$B$11,"REVIEW","ON TRACK")))</x:f>
      </x:c>
      <x:c r="Y24" s="16"/>
    </x:row>
    <x:row r="25" ht="15" hidden="0" customHeight="1">
      <x:c r="A25" s="24" t="str">
        <x:f>IF('Budget Input'!A25="","",'Budget Input'!A25)</x:f>
      </x:c>
      <x:c r="B25" s="24" t="str">
        <x:f>IF('Budget Input'!A25="","",'Budget Input'!C25)</x:f>
      </x:c>
      <x:c r="C25" s="24" t="str">
        <x:f>IF('Budget Input'!A25="","",'Budget Input'!D25)</x:f>
      </x:c>
      <x:c r="D25" s="24" t="str">
        <x:f>IF('Budget Input'!A25="","",'Budget Input'!F25)</x:f>
      </x:c>
      <x:c r="E25" s="24" t="str">
        <x:f>IF('Budget Input'!A25="","",'Budget Input'!H25)</x:f>
      </x:c>
      <x:c r="F25" s="32" t="str">
        <x:f>IF('Budget Input'!A25="","",'Budget Input'!J25)</x:f>
      </x:c>
      <x:c r="G25" s="31" t="n">
        <x:v>0</x:v>
      </x:c>
      <x:c r="H25" s="31" t="n">
        <x:v>0</x:v>
      </x:c>
      <x:c r="I25" s="31" t="n">
        <x:v>0</x:v>
      </x:c>
      <x:c r="J25" s="31" t="n">
        <x:v>0</x:v>
      </x:c>
      <x:c r="K25" s="31" t="n">
        <x:v>0</x:v>
      </x:c>
      <x:c r="L25" s="31" t="n">
        <x:v>0</x:v>
      </x:c>
      <x:c r="M25" s="31" t="n">
        <x:v>0</x:v>
      </x:c>
      <x:c r="N25" s="31" t="n">
        <x:v>0</x:v>
      </x:c>
      <x:c r="O25" s="31" t="n">
        <x:v>0</x:v>
      </x:c>
      <x:c r="P25" s="31" t="n">
        <x:v>0</x:v>
      </x:c>
      <x:c r="Q25" s="31" t="n">
        <x:v>0</x:v>
      </x:c>
      <x:c r="R25" s="31" t="n">
        <x:v>0</x:v>
      </x:c>
      <x:c r="S25" s="32" t="str">
        <x:f>IF($A25="","",SUM('Budget Input'!$K25:INDEX('Budget Input'!$K25:$V25,1,'Assumptions'!$B$6)))</x:f>
      </x:c>
      <x:c r="T25" s="32" t="str">
        <x:f>IF($A25="","",SUM($G25:INDEX($G25:$R25,1,'Assumptions'!$B$6)))</x:f>
      </x:c>
      <x:c r="U25" s="32" t="str">
        <x:f>IF($A25="","",ROUND(SUM(IF('Assumptions'!$B$6&gt;=1,$G25,'Budget Input'!$K25),IF('Assumptions'!$B$6&gt;=2,$H25,'Budget Input'!$L25),IF('Assumptions'!$B$6&gt;=3,$I25,'Budget Input'!$M25),IF('Assumptions'!$B$6&gt;=4,$J25,'Budget Input'!$N25),IF('Assumptions'!$B$6&gt;=5,$K25,'Budget Input'!$O25),IF('Assumptions'!$B$6&gt;=6,$L25,'Budget Input'!$P25),IF('Assumptions'!$B$6&gt;=7,$M25,'Budget Input'!$Q25),IF('Assumptions'!$B$6&gt;=8,$N25,'Budget Input'!$R25),IF('Assumptions'!$B$6&gt;=9,$O25,'Budget Input'!$S25),IF('Assumptions'!$B$6&gt;=10,$P25,'Budget Input'!$T25),IF('Assumptions'!$B$6&gt;=11,$Q25,'Budget Input'!$U25),IF('Assumptions'!$B$6&gt;=12,$R25,'Budget Input'!$V25)),0))</x:f>
      </x:c>
      <x:c r="V25" s="32" t="str">
        <x:f>IF($A25="","",$U25-$F25)</x:f>
      </x:c>
      <x:c r="W25" s="25" t="str">
        <x:f>IF($A25="","",IFERROR($V25/$F25,0))</x:f>
      </x:c>
      <x:c r="X25" s="24" t="str">
        <x:f>IF($A25="","",IF(ABS($W25)&gt;='Assumptions'!$B$12,"ESCALATE",IF(ABS($W25)&gt;='Assumptions'!$B$11,"REVIEW","ON TRACK")))</x:f>
      </x:c>
      <x:c r="Y25" s="16"/>
    </x:row>
    <x:row r="26" ht="15" hidden="0" customHeight="1">
      <x:c r="A26" s="24" t="str">
        <x:f>IF('Budget Input'!A26="","",'Budget Input'!A26)</x:f>
      </x:c>
      <x:c r="B26" s="24" t="str">
        <x:f>IF('Budget Input'!A26="","",'Budget Input'!C26)</x:f>
      </x:c>
      <x:c r="C26" s="24" t="str">
        <x:f>IF('Budget Input'!A26="","",'Budget Input'!D26)</x:f>
      </x:c>
      <x:c r="D26" s="24" t="str">
        <x:f>IF('Budget Input'!A26="","",'Budget Input'!F26)</x:f>
      </x:c>
      <x:c r="E26" s="24" t="str">
        <x:f>IF('Budget Input'!A26="","",'Budget Input'!H26)</x:f>
      </x:c>
      <x:c r="F26" s="32" t="str">
        <x:f>IF('Budget Input'!A26="","",'Budget Input'!J26)</x:f>
      </x:c>
      <x:c r="G26" s="31" t="n">
        <x:v>0</x:v>
      </x:c>
      <x:c r="H26" s="31" t="n">
        <x:v>0</x:v>
      </x:c>
      <x:c r="I26" s="31" t="n">
        <x:v>0</x:v>
      </x:c>
      <x:c r="J26" s="31" t="n">
        <x:v>0</x:v>
      </x:c>
      <x:c r="K26" s="31" t="n">
        <x:v>0</x:v>
      </x:c>
      <x:c r="L26" s="31" t="n">
        <x:v>0</x:v>
      </x:c>
      <x:c r="M26" s="31" t="n">
        <x:v>0</x:v>
      </x:c>
      <x:c r="N26" s="31" t="n">
        <x:v>0</x:v>
      </x:c>
      <x:c r="O26" s="31" t="n">
        <x:v>0</x:v>
      </x:c>
      <x:c r="P26" s="31" t="n">
        <x:v>0</x:v>
      </x:c>
      <x:c r="Q26" s="31" t="n">
        <x:v>0</x:v>
      </x:c>
      <x:c r="R26" s="31" t="n">
        <x:v>0</x:v>
      </x:c>
      <x:c r="S26" s="32" t="str">
        <x:f>IF($A26="","",SUM('Budget Input'!$K26:INDEX('Budget Input'!$K26:$V26,1,'Assumptions'!$B$6)))</x:f>
      </x:c>
      <x:c r="T26" s="32" t="str">
        <x:f>IF($A26="","",SUM($G26:INDEX($G26:$R26,1,'Assumptions'!$B$6)))</x:f>
      </x:c>
      <x:c r="U26" s="32" t="str">
        <x:f>IF($A26="","",ROUND(SUM(IF('Assumptions'!$B$6&gt;=1,$G26,'Budget Input'!$K26),IF('Assumptions'!$B$6&gt;=2,$H26,'Budget Input'!$L26),IF('Assumptions'!$B$6&gt;=3,$I26,'Budget Input'!$M26),IF('Assumptions'!$B$6&gt;=4,$J26,'Budget Input'!$N26),IF('Assumptions'!$B$6&gt;=5,$K26,'Budget Input'!$O26),IF('Assumptions'!$B$6&gt;=6,$L26,'Budget Input'!$P26),IF('Assumptions'!$B$6&gt;=7,$M26,'Budget Input'!$Q26),IF('Assumptions'!$B$6&gt;=8,$N26,'Budget Input'!$R26),IF('Assumptions'!$B$6&gt;=9,$O26,'Budget Input'!$S26),IF('Assumptions'!$B$6&gt;=10,$P26,'Budget Input'!$T26),IF('Assumptions'!$B$6&gt;=11,$Q26,'Budget Input'!$U26),IF('Assumptions'!$B$6&gt;=12,$R26,'Budget Input'!$V26)),0))</x:f>
      </x:c>
      <x:c r="V26" s="32" t="str">
        <x:f>IF($A26="","",$U26-$F26)</x:f>
      </x:c>
      <x:c r="W26" s="25" t="str">
        <x:f>IF($A26="","",IFERROR($V26/$F26,0))</x:f>
      </x:c>
      <x:c r="X26" s="24" t="str">
        <x:f>IF($A26="","",IF(ABS($W26)&gt;='Assumptions'!$B$12,"ESCALATE",IF(ABS($W26)&gt;='Assumptions'!$B$11,"REVIEW","ON TRACK")))</x:f>
      </x:c>
      <x:c r="Y26" s="16"/>
    </x:row>
    <x:row r="27" ht="15" hidden="0" customHeight="1">
      <x:c r="A27" s="24" t="str">
        <x:f>IF('Budget Input'!A27="","",'Budget Input'!A27)</x:f>
      </x:c>
      <x:c r="B27" s="24" t="str">
        <x:f>IF('Budget Input'!A27="","",'Budget Input'!C27)</x:f>
      </x:c>
      <x:c r="C27" s="24" t="str">
        <x:f>IF('Budget Input'!A27="","",'Budget Input'!D27)</x:f>
      </x:c>
      <x:c r="D27" s="24" t="str">
        <x:f>IF('Budget Input'!A27="","",'Budget Input'!F27)</x:f>
      </x:c>
      <x:c r="E27" s="24" t="str">
        <x:f>IF('Budget Input'!A27="","",'Budget Input'!H27)</x:f>
      </x:c>
      <x:c r="F27" s="32" t="str">
        <x:f>IF('Budget Input'!A27="","",'Budget Input'!J27)</x:f>
      </x:c>
      <x:c r="G27" s="31" t="n">
        <x:v>0</x:v>
      </x:c>
      <x:c r="H27" s="31" t="n">
        <x:v>0</x:v>
      </x:c>
      <x:c r="I27" s="31" t="n">
        <x:v>0</x:v>
      </x:c>
      <x:c r="J27" s="31" t="n">
        <x:v>0</x:v>
      </x:c>
      <x:c r="K27" s="31" t="n">
        <x:v>0</x:v>
      </x:c>
      <x:c r="L27" s="31" t="n">
        <x:v>0</x:v>
      </x:c>
      <x:c r="M27" s="31" t="n">
        <x:v>0</x:v>
      </x:c>
      <x:c r="N27" s="31" t="n">
        <x:v>0</x:v>
      </x:c>
      <x:c r="O27" s="31" t="n">
        <x:v>0</x:v>
      </x:c>
      <x:c r="P27" s="31" t="n">
        <x:v>0</x:v>
      </x:c>
      <x:c r="Q27" s="31" t="n">
        <x:v>0</x:v>
      </x:c>
      <x:c r="R27" s="31" t="n">
        <x:v>0</x:v>
      </x:c>
      <x:c r="S27" s="32" t="str">
        <x:f>IF($A27="","",SUM('Budget Input'!$K27:INDEX('Budget Input'!$K27:$V27,1,'Assumptions'!$B$6)))</x:f>
      </x:c>
      <x:c r="T27" s="32" t="str">
        <x:f>IF($A27="","",SUM($G27:INDEX($G27:$R27,1,'Assumptions'!$B$6)))</x:f>
      </x:c>
      <x:c r="U27" s="32" t="str">
        <x:f>IF($A27="","",ROUND(SUM(IF('Assumptions'!$B$6&gt;=1,$G27,'Budget Input'!$K27),IF('Assumptions'!$B$6&gt;=2,$H27,'Budget Input'!$L27),IF('Assumptions'!$B$6&gt;=3,$I27,'Budget Input'!$M27),IF('Assumptions'!$B$6&gt;=4,$J27,'Budget Input'!$N27),IF('Assumptions'!$B$6&gt;=5,$K27,'Budget Input'!$O27),IF('Assumptions'!$B$6&gt;=6,$L27,'Budget Input'!$P27),IF('Assumptions'!$B$6&gt;=7,$M27,'Budget Input'!$Q27),IF('Assumptions'!$B$6&gt;=8,$N27,'Budget Input'!$R27),IF('Assumptions'!$B$6&gt;=9,$O27,'Budget Input'!$S27),IF('Assumptions'!$B$6&gt;=10,$P27,'Budget Input'!$T27),IF('Assumptions'!$B$6&gt;=11,$Q27,'Budget Input'!$U27),IF('Assumptions'!$B$6&gt;=12,$R27,'Budget Input'!$V27)),0))</x:f>
      </x:c>
      <x:c r="V27" s="32" t="str">
        <x:f>IF($A27="","",$U27-$F27)</x:f>
      </x:c>
      <x:c r="W27" s="25" t="str">
        <x:f>IF($A27="","",IFERROR($V27/$F27,0))</x:f>
      </x:c>
      <x:c r="X27" s="24" t="str">
        <x:f>IF($A27="","",IF(ABS($W27)&gt;='Assumptions'!$B$12,"ESCALATE",IF(ABS($W27)&gt;='Assumptions'!$B$11,"REVIEW","ON TRACK")))</x:f>
      </x:c>
      <x:c r="Y27" s="16"/>
    </x:row>
    <x:row r="28" ht="15" hidden="0" customHeight="1">
      <x:c r="A28" s="24" t="str">
        <x:f>IF('Budget Input'!A28="","",'Budget Input'!A28)</x:f>
      </x:c>
      <x:c r="B28" s="24" t="str">
        <x:f>IF('Budget Input'!A28="","",'Budget Input'!C28)</x:f>
      </x:c>
      <x:c r="C28" s="24" t="str">
        <x:f>IF('Budget Input'!A28="","",'Budget Input'!D28)</x:f>
      </x:c>
      <x:c r="D28" s="24" t="str">
        <x:f>IF('Budget Input'!A28="","",'Budget Input'!F28)</x:f>
      </x:c>
      <x:c r="E28" s="24" t="str">
        <x:f>IF('Budget Input'!A28="","",'Budget Input'!H28)</x:f>
      </x:c>
      <x:c r="F28" s="32" t="str">
        <x:f>IF('Budget Input'!A28="","",'Budget Input'!J28)</x:f>
      </x:c>
      <x:c r="G28" s="31" t="n">
        <x:v>0</x:v>
      </x:c>
      <x:c r="H28" s="31" t="n">
        <x:v>0</x:v>
      </x:c>
      <x:c r="I28" s="31" t="n">
        <x:v>0</x:v>
      </x:c>
      <x:c r="J28" s="31" t="n">
        <x:v>0</x:v>
      </x:c>
      <x:c r="K28" s="31" t="n">
        <x:v>0</x:v>
      </x:c>
      <x:c r="L28" s="31" t="n">
        <x:v>0</x:v>
      </x:c>
      <x:c r="M28" s="31" t="n">
        <x:v>0</x:v>
      </x:c>
      <x:c r="N28" s="31" t="n">
        <x:v>0</x:v>
      </x:c>
      <x:c r="O28" s="31" t="n">
        <x:v>0</x:v>
      </x:c>
      <x:c r="P28" s="31" t="n">
        <x:v>0</x:v>
      </x:c>
      <x:c r="Q28" s="31" t="n">
        <x:v>0</x:v>
      </x:c>
      <x:c r="R28" s="31" t="n">
        <x:v>0</x:v>
      </x:c>
      <x:c r="S28" s="32" t="str">
        <x:f>IF($A28="","",SUM('Budget Input'!$K28:INDEX('Budget Input'!$K28:$V28,1,'Assumptions'!$B$6)))</x:f>
      </x:c>
      <x:c r="T28" s="32" t="str">
        <x:f>IF($A28="","",SUM($G28:INDEX($G28:$R28,1,'Assumptions'!$B$6)))</x:f>
      </x:c>
      <x:c r="U28" s="32" t="str">
        <x:f>IF($A28="","",ROUND(SUM(IF('Assumptions'!$B$6&gt;=1,$G28,'Budget Input'!$K28),IF('Assumptions'!$B$6&gt;=2,$H28,'Budget Input'!$L28),IF('Assumptions'!$B$6&gt;=3,$I28,'Budget Input'!$M28),IF('Assumptions'!$B$6&gt;=4,$J28,'Budget Input'!$N28),IF('Assumptions'!$B$6&gt;=5,$K28,'Budget Input'!$O28),IF('Assumptions'!$B$6&gt;=6,$L28,'Budget Input'!$P28),IF('Assumptions'!$B$6&gt;=7,$M28,'Budget Input'!$Q28),IF('Assumptions'!$B$6&gt;=8,$N28,'Budget Input'!$R28),IF('Assumptions'!$B$6&gt;=9,$O28,'Budget Input'!$S28),IF('Assumptions'!$B$6&gt;=10,$P28,'Budget Input'!$T28),IF('Assumptions'!$B$6&gt;=11,$Q28,'Budget Input'!$U28),IF('Assumptions'!$B$6&gt;=12,$R28,'Budget Input'!$V28)),0))</x:f>
      </x:c>
      <x:c r="V28" s="32" t="str">
        <x:f>IF($A28="","",$U28-$F28)</x:f>
      </x:c>
      <x:c r="W28" s="25" t="str">
        <x:f>IF($A28="","",IFERROR($V28/$F28,0))</x:f>
      </x:c>
      <x:c r="X28" s="24" t="str">
        <x:f>IF($A28="","",IF(ABS($W28)&gt;='Assumptions'!$B$12,"ESCALATE",IF(ABS($W28)&gt;='Assumptions'!$B$11,"REVIEW","ON TRACK")))</x:f>
      </x:c>
      <x:c r="Y28" s="16"/>
    </x:row>
    <x:row r="29" ht="15" hidden="0" customHeight="1">
      <x:c r="A29" s="24" t="str">
        <x:f>IF('Budget Input'!A29="","",'Budget Input'!A29)</x:f>
      </x:c>
      <x:c r="B29" s="24" t="str">
        <x:f>IF('Budget Input'!A29="","",'Budget Input'!C29)</x:f>
      </x:c>
      <x:c r="C29" s="24" t="str">
        <x:f>IF('Budget Input'!A29="","",'Budget Input'!D29)</x:f>
      </x:c>
      <x:c r="D29" s="24" t="str">
        <x:f>IF('Budget Input'!A29="","",'Budget Input'!F29)</x:f>
      </x:c>
      <x:c r="E29" s="24" t="str">
        <x:f>IF('Budget Input'!A29="","",'Budget Input'!H29)</x:f>
      </x:c>
      <x:c r="F29" s="32" t="str">
        <x:f>IF('Budget Input'!A29="","",'Budget Input'!J29)</x:f>
      </x:c>
      <x:c r="G29" s="31" t="n">
        <x:v>0</x:v>
      </x:c>
      <x:c r="H29" s="31" t="n">
        <x:v>0</x:v>
      </x:c>
      <x:c r="I29" s="31" t="n">
        <x:v>0</x:v>
      </x:c>
      <x:c r="J29" s="31" t="n">
        <x:v>0</x:v>
      </x:c>
      <x:c r="K29" s="31" t="n">
        <x:v>0</x:v>
      </x:c>
      <x:c r="L29" s="31" t="n">
        <x:v>0</x:v>
      </x:c>
      <x:c r="M29" s="31" t="n">
        <x:v>0</x:v>
      </x:c>
      <x:c r="N29" s="31" t="n">
        <x:v>0</x:v>
      </x:c>
      <x:c r="O29" s="31" t="n">
        <x:v>0</x:v>
      </x:c>
      <x:c r="P29" s="31" t="n">
        <x:v>0</x:v>
      </x:c>
      <x:c r="Q29" s="31" t="n">
        <x:v>0</x:v>
      </x:c>
      <x:c r="R29" s="31" t="n">
        <x:v>0</x:v>
      </x:c>
      <x:c r="S29" s="32" t="str">
        <x:f>IF($A29="","",SUM('Budget Input'!$K29:INDEX('Budget Input'!$K29:$V29,1,'Assumptions'!$B$6)))</x:f>
      </x:c>
      <x:c r="T29" s="32" t="str">
        <x:f>IF($A29="","",SUM($G29:INDEX($G29:$R29,1,'Assumptions'!$B$6)))</x:f>
      </x:c>
      <x:c r="U29" s="32" t="str">
        <x:f>IF($A29="","",ROUND(SUM(IF('Assumptions'!$B$6&gt;=1,$G29,'Budget Input'!$K29),IF('Assumptions'!$B$6&gt;=2,$H29,'Budget Input'!$L29),IF('Assumptions'!$B$6&gt;=3,$I29,'Budget Input'!$M29),IF('Assumptions'!$B$6&gt;=4,$J29,'Budget Input'!$N29),IF('Assumptions'!$B$6&gt;=5,$K29,'Budget Input'!$O29),IF('Assumptions'!$B$6&gt;=6,$L29,'Budget Input'!$P29),IF('Assumptions'!$B$6&gt;=7,$M29,'Budget Input'!$Q29),IF('Assumptions'!$B$6&gt;=8,$N29,'Budget Input'!$R29),IF('Assumptions'!$B$6&gt;=9,$O29,'Budget Input'!$S29),IF('Assumptions'!$B$6&gt;=10,$P29,'Budget Input'!$T29),IF('Assumptions'!$B$6&gt;=11,$Q29,'Budget Input'!$U29),IF('Assumptions'!$B$6&gt;=12,$R29,'Budget Input'!$V29)),0))</x:f>
      </x:c>
      <x:c r="V29" s="32" t="str">
        <x:f>IF($A29="","",$U29-$F29)</x:f>
      </x:c>
      <x:c r="W29" s="25" t="str">
        <x:f>IF($A29="","",IFERROR($V29/$F29,0))</x:f>
      </x:c>
      <x:c r="X29" s="24" t="str">
        <x:f>IF($A29="","",IF(ABS($W29)&gt;='Assumptions'!$B$12,"ESCALATE",IF(ABS($W29)&gt;='Assumptions'!$B$11,"REVIEW","ON TRACK")))</x:f>
      </x:c>
      <x:c r="Y29" s="16"/>
    </x:row>
    <x:row r="30" ht="15" hidden="0" customHeight="1">
      <x:c r="A30" s="24" t="str">
        <x:f>IF('Budget Input'!A30="","",'Budget Input'!A30)</x:f>
      </x:c>
      <x:c r="B30" s="24" t="str">
        <x:f>IF('Budget Input'!A30="","",'Budget Input'!C30)</x:f>
      </x:c>
      <x:c r="C30" s="24" t="str">
        <x:f>IF('Budget Input'!A30="","",'Budget Input'!D30)</x:f>
      </x:c>
      <x:c r="D30" s="24" t="str">
        <x:f>IF('Budget Input'!A30="","",'Budget Input'!F30)</x:f>
      </x:c>
      <x:c r="E30" s="24" t="str">
        <x:f>IF('Budget Input'!A30="","",'Budget Input'!H30)</x:f>
      </x:c>
      <x:c r="F30" s="32" t="str">
        <x:f>IF('Budget Input'!A30="","",'Budget Input'!J30)</x:f>
      </x:c>
      <x:c r="G30" s="31" t="n">
        <x:v>0</x:v>
      </x:c>
      <x:c r="H30" s="31" t="n">
        <x:v>0</x:v>
      </x:c>
      <x:c r="I30" s="31" t="n">
        <x:v>0</x:v>
      </x:c>
      <x:c r="J30" s="31" t="n">
        <x:v>0</x:v>
      </x:c>
      <x:c r="K30" s="31" t="n">
        <x:v>0</x:v>
      </x:c>
      <x:c r="L30" s="31" t="n">
        <x:v>0</x:v>
      </x:c>
      <x:c r="M30" s="31" t="n">
        <x:v>0</x:v>
      </x:c>
      <x:c r="N30" s="31" t="n">
        <x:v>0</x:v>
      </x:c>
      <x:c r="O30" s="31" t="n">
        <x:v>0</x:v>
      </x:c>
      <x:c r="P30" s="31" t="n">
        <x:v>0</x:v>
      </x:c>
      <x:c r="Q30" s="31" t="n">
        <x:v>0</x:v>
      </x:c>
      <x:c r="R30" s="31" t="n">
        <x:v>0</x:v>
      </x:c>
      <x:c r="S30" s="32" t="str">
        <x:f>IF($A30="","",SUM('Budget Input'!$K30:INDEX('Budget Input'!$K30:$V30,1,'Assumptions'!$B$6)))</x:f>
      </x:c>
      <x:c r="T30" s="32" t="str">
        <x:f>IF($A30="","",SUM($G30:INDEX($G30:$R30,1,'Assumptions'!$B$6)))</x:f>
      </x:c>
      <x:c r="U30" s="32" t="str">
        <x:f>IF($A30="","",ROUND(SUM(IF('Assumptions'!$B$6&gt;=1,$G30,'Budget Input'!$K30),IF('Assumptions'!$B$6&gt;=2,$H30,'Budget Input'!$L30),IF('Assumptions'!$B$6&gt;=3,$I30,'Budget Input'!$M30),IF('Assumptions'!$B$6&gt;=4,$J30,'Budget Input'!$N30),IF('Assumptions'!$B$6&gt;=5,$K30,'Budget Input'!$O30),IF('Assumptions'!$B$6&gt;=6,$L30,'Budget Input'!$P30),IF('Assumptions'!$B$6&gt;=7,$M30,'Budget Input'!$Q30),IF('Assumptions'!$B$6&gt;=8,$N30,'Budget Input'!$R30),IF('Assumptions'!$B$6&gt;=9,$O30,'Budget Input'!$S30),IF('Assumptions'!$B$6&gt;=10,$P30,'Budget Input'!$T30),IF('Assumptions'!$B$6&gt;=11,$Q30,'Budget Input'!$U30),IF('Assumptions'!$B$6&gt;=12,$R30,'Budget Input'!$V30)),0))</x:f>
      </x:c>
      <x:c r="V30" s="32" t="str">
        <x:f>IF($A30="","",$U30-$F30)</x:f>
      </x:c>
      <x:c r="W30" s="25" t="str">
        <x:f>IF($A30="","",IFERROR($V30/$F30,0))</x:f>
      </x:c>
      <x:c r="X30" s="24" t="str">
        <x:f>IF($A30="","",IF(ABS($W30)&gt;='Assumptions'!$B$12,"ESCALATE",IF(ABS($W30)&gt;='Assumptions'!$B$11,"REVIEW","ON TRACK")))</x:f>
      </x:c>
      <x:c r="Y30" s="16"/>
    </x:row>
    <x:row r="31" ht="15" hidden="0" customHeight="1">
      <x:c r="A31" s="24" t="str">
        <x:f>IF('Budget Input'!A31="","",'Budget Input'!A31)</x:f>
      </x:c>
      <x:c r="B31" s="24" t="str">
        <x:f>IF('Budget Input'!A31="","",'Budget Input'!C31)</x:f>
      </x:c>
      <x:c r="C31" s="24" t="str">
        <x:f>IF('Budget Input'!A31="","",'Budget Input'!D31)</x:f>
      </x:c>
      <x:c r="D31" s="24" t="str">
        <x:f>IF('Budget Input'!A31="","",'Budget Input'!F31)</x:f>
      </x:c>
      <x:c r="E31" s="24" t="str">
        <x:f>IF('Budget Input'!A31="","",'Budget Input'!H31)</x:f>
      </x:c>
      <x:c r="F31" s="32" t="str">
        <x:f>IF('Budget Input'!A31="","",'Budget Input'!J31)</x:f>
      </x:c>
      <x:c r="G31" s="31" t="n">
        <x:v>0</x:v>
      </x:c>
      <x:c r="H31" s="31" t="n">
        <x:v>0</x:v>
      </x:c>
      <x:c r="I31" s="31" t="n">
        <x:v>0</x:v>
      </x:c>
      <x:c r="J31" s="31" t="n">
        <x:v>0</x:v>
      </x:c>
      <x:c r="K31" s="31" t="n">
        <x:v>0</x:v>
      </x:c>
      <x:c r="L31" s="31" t="n">
        <x:v>0</x:v>
      </x:c>
      <x:c r="M31" s="31" t="n">
        <x:v>0</x:v>
      </x:c>
      <x:c r="N31" s="31" t="n">
        <x:v>0</x:v>
      </x:c>
      <x:c r="O31" s="31" t="n">
        <x:v>0</x:v>
      </x:c>
      <x:c r="P31" s="31" t="n">
        <x:v>0</x:v>
      </x:c>
      <x:c r="Q31" s="31" t="n">
        <x:v>0</x:v>
      </x:c>
      <x:c r="R31" s="31" t="n">
        <x:v>0</x:v>
      </x:c>
      <x:c r="S31" s="32" t="str">
        <x:f>IF($A31="","",SUM('Budget Input'!$K31:INDEX('Budget Input'!$K31:$V31,1,'Assumptions'!$B$6)))</x:f>
      </x:c>
      <x:c r="T31" s="32" t="str">
        <x:f>IF($A31="","",SUM($G31:INDEX($G31:$R31,1,'Assumptions'!$B$6)))</x:f>
      </x:c>
      <x:c r="U31" s="32" t="str">
        <x:f>IF($A31="","",ROUND(SUM(IF('Assumptions'!$B$6&gt;=1,$G31,'Budget Input'!$K31),IF('Assumptions'!$B$6&gt;=2,$H31,'Budget Input'!$L31),IF('Assumptions'!$B$6&gt;=3,$I31,'Budget Input'!$M31),IF('Assumptions'!$B$6&gt;=4,$J31,'Budget Input'!$N31),IF('Assumptions'!$B$6&gt;=5,$K31,'Budget Input'!$O31),IF('Assumptions'!$B$6&gt;=6,$L31,'Budget Input'!$P31),IF('Assumptions'!$B$6&gt;=7,$M31,'Budget Input'!$Q31),IF('Assumptions'!$B$6&gt;=8,$N31,'Budget Input'!$R31),IF('Assumptions'!$B$6&gt;=9,$O31,'Budget Input'!$S31),IF('Assumptions'!$B$6&gt;=10,$P31,'Budget Input'!$T31),IF('Assumptions'!$B$6&gt;=11,$Q31,'Budget Input'!$U31),IF('Assumptions'!$B$6&gt;=12,$R31,'Budget Input'!$V31)),0))</x:f>
      </x:c>
      <x:c r="V31" s="32" t="str">
        <x:f>IF($A31="","",$U31-$F31)</x:f>
      </x:c>
      <x:c r="W31" s="25" t="str">
        <x:f>IF($A31="","",IFERROR($V31/$F31,0))</x:f>
      </x:c>
      <x:c r="X31" s="24" t="str">
        <x:f>IF($A31="","",IF(ABS($W31)&gt;='Assumptions'!$B$12,"ESCALATE",IF(ABS($W31)&gt;='Assumptions'!$B$11,"REVIEW","ON TRACK")))</x:f>
      </x:c>
      <x:c r="Y31" s="16"/>
    </x:row>
    <x:row r="32" ht="15" hidden="0" customHeight="1">
      <x:c r="A32" s="24" t="str">
        <x:f>IF('Budget Input'!A32="","",'Budget Input'!A32)</x:f>
      </x:c>
      <x:c r="B32" s="24" t="str">
        <x:f>IF('Budget Input'!A32="","",'Budget Input'!C32)</x:f>
      </x:c>
      <x:c r="C32" s="24" t="str">
        <x:f>IF('Budget Input'!A32="","",'Budget Input'!D32)</x:f>
      </x:c>
      <x:c r="D32" s="24" t="str">
        <x:f>IF('Budget Input'!A32="","",'Budget Input'!F32)</x:f>
      </x:c>
      <x:c r="E32" s="24" t="str">
        <x:f>IF('Budget Input'!A32="","",'Budget Input'!H32)</x:f>
      </x:c>
      <x:c r="F32" s="32" t="str">
        <x:f>IF('Budget Input'!A32="","",'Budget Input'!J32)</x:f>
      </x:c>
      <x:c r="G32" s="31" t="n">
        <x:v>0</x:v>
      </x:c>
      <x:c r="H32" s="31" t="n">
        <x:v>0</x:v>
      </x:c>
      <x:c r="I32" s="31" t="n">
        <x:v>0</x:v>
      </x:c>
      <x:c r="J32" s="31" t="n">
        <x:v>0</x:v>
      </x:c>
      <x:c r="K32" s="31" t="n">
        <x:v>0</x:v>
      </x:c>
      <x:c r="L32" s="31" t="n">
        <x:v>0</x:v>
      </x:c>
      <x:c r="M32" s="31" t="n">
        <x:v>0</x:v>
      </x:c>
      <x:c r="N32" s="31" t="n">
        <x:v>0</x:v>
      </x:c>
      <x:c r="O32" s="31" t="n">
        <x:v>0</x:v>
      </x:c>
      <x:c r="P32" s="31" t="n">
        <x:v>0</x:v>
      </x:c>
      <x:c r="Q32" s="31" t="n">
        <x:v>0</x:v>
      </x:c>
      <x:c r="R32" s="31" t="n">
        <x:v>0</x:v>
      </x:c>
      <x:c r="S32" s="32" t="str">
        <x:f>IF($A32="","",SUM('Budget Input'!$K32:INDEX('Budget Input'!$K32:$V32,1,'Assumptions'!$B$6)))</x:f>
      </x:c>
      <x:c r="T32" s="32" t="str">
        <x:f>IF($A32="","",SUM($G32:INDEX($G32:$R32,1,'Assumptions'!$B$6)))</x:f>
      </x:c>
      <x:c r="U32" s="32" t="str">
        <x:f>IF($A32="","",ROUND(SUM(IF('Assumptions'!$B$6&gt;=1,$G32,'Budget Input'!$K32),IF('Assumptions'!$B$6&gt;=2,$H32,'Budget Input'!$L32),IF('Assumptions'!$B$6&gt;=3,$I32,'Budget Input'!$M32),IF('Assumptions'!$B$6&gt;=4,$J32,'Budget Input'!$N32),IF('Assumptions'!$B$6&gt;=5,$K32,'Budget Input'!$O32),IF('Assumptions'!$B$6&gt;=6,$L32,'Budget Input'!$P32),IF('Assumptions'!$B$6&gt;=7,$M32,'Budget Input'!$Q32),IF('Assumptions'!$B$6&gt;=8,$N32,'Budget Input'!$R32),IF('Assumptions'!$B$6&gt;=9,$O32,'Budget Input'!$S32),IF('Assumptions'!$B$6&gt;=10,$P32,'Budget Input'!$T32),IF('Assumptions'!$B$6&gt;=11,$Q32,'Budget Input'!$U32),IF('Assumptions'!$B$6&gt;=12,$R32,'Budget Input'!$V32)),0))</x:f>
      </x:c>
      <x:c r="V32" s="32" t="str">
        <x:f>IF($A32="","",$U32-$F32)</x:f>
      </x:c>
      <x:c r="W32" s="25" t="str">
        <x:f>IF($A32="","",IFERROR($V32/$F32,0))</x:f>
      </x:c>
      <x:c r="X32" s="24" t="str">
        <x:f>IF($A32="","",IF(ABS($W32)&gt;='Assumptions'!$B$12,"ESCALATE",IF(ABS($W32)&gt;='Assumptions'!$B$11,"REVIEW","ON TRACK")))</x:f>
      </x:c>
      <x:c r="Y32" s="16"/>
    </x:row>
    <x:row r="33" ht="15" hidden="0" customHeight="1">
      <x:c r="A33" s="24" t="str">
        <x:f>IF('Budget Input'!A33="","",'Budget Input'!A33)</x:f>
      </x:c>
      <x:c r="B33" s="24" t="str">
        <x:f>IF('Budget Input'!A33="","",'Budget Input'!C33)</x:f>
      </x:c>
      <x:c r="C33" s="24" t="str">
        <x:f>IF('Budget Input'!A33="","",'Budget Input'!D33)</x:f>
      </x:c>
      <x:c r="D33" s="24" t="str">
        <x:f>IF('Budget Input'!A33="","",'Budget Input'!F33)</x:f>
      </x:c>
      <x:c r="E33" s="24" t="str">
        <x:f>IF('Budget Input'!A33="","",'Budget Input'!H33)</x:f>
      </x:c>
      <x:c r="F33" s="32" t="str">
        <x:f>IF('Budget Input'!A33="","",'Budget Input'!J33)</x:f>
      </x:c>
      <x:c r="G33" s="31" t="n">
        <x:v>0</x:v>
      </x:c>
      <x:c r="H33" s="31" t="n">
        <x:v>0</x:v>
      </x:c>
      <x:c r="I33" s="31" t="n">
        <x:v>0</x:v>
      </x:c>
      <x:c r="J33" s="31" t="n">
        <x:v>0</x:v>
      </x:c>
      <x:c r="K33" s="31" t="n">
        <x:v>0</x:v>
      </x:c>
      <x:c r="L33" s="31" t="n">
        <x:v>0</x:v>
      </x:c>
      <x:c r="M33" s="31" t="n">
        <x:v>0</x:v>
      </x:c>
      <x:c r="N33" s="31" t="n">
        <x:v>0</x:v>
      </x:c>
      <x:c r="O33" s="31" t="n">
        <x:v>0</x:v>
      </x:c>
      <x:c r="P33" s="31" t="n">
        <x:v>0</x:v>
      </x:c>
      <x:c r="Q33" s="31" t="n">
        <x:v>0</x:v>
      </x:c>
      <x:c r="R33" s="31" t="n">
        <x:v>0</x:v>
      </x:c>
      <x:c r="S33" s="32" t="str">
        <x:f>IF($A33="","",SUM('Budget Input'!$K33:INDEX('Budget Input'!$K33:$V33,1,'Assumptions'!$B$6)))</x:f>
      </x:c>
      <x:c r="T33" s="32" t="str">
        <x:f>IF($A33="","",SUM($G33:INDEX($G33:$R33,1,'Assumptions'!$B$6)))</x:f>
      </x:c>
      <x:c r="U33" s="32" t="str">
        <x:f>IF($A33="","",ROUND(SUM(IF('Assumptions'!$B$6&gt;=1,$G33,'Budget Input'!$K33),IF('Assumptions'!$B$6&gt;=2,$H33,'Budget Input'!$L33),IF('Assumptions'!$B$6&gt;=3,$I33,'Budget Input'!$M33),IF('Assumptions'!$B$6&gt;=4,$J33,'Budget Input'!$N33),IF('Assumptions'!$B$6&gt;=5,$K33,'Budget Input'!$O33),IF('Assumptions'!$B$6&gt;=6,$L33,'Budget Input'!$P33),IF('Assumptions'!$B$6&gt;=7,$M33,'Budget Input'!$Q33),IF('Assumptions'!$B$6&gt;=8,$N33,'Budget Input'!$R33),IF('Assumptions'!$B$6&gt;=9,$O33,'Budget Input'!$S33),IF('Assumptions'!$B$6&gt;=10,$P33,'Budget Input'!$T33),IF('Assumptions'!$B$6&gt;=11,$Q33,'Budget Input'!$U33),IF('Assumptions'!$B$6&gt;=12,$R33,'Budget Input'!$V33)),0))</x:f>
      </x:c>
      <x:c r="V33" s="32" t="str">
        <x:f>IF($A33="","",$U33-$F33)</x:f>
      </x:c>
      <x:c r="W33" s="25" t="str">
        <x:f>IF($A33="","",IFERROR($V33/$F33,0))</x:f>
      </x:c>
      <x:c r="X33" s="24" t="str">
        <x:f>IF($A33="","",IF(ABS($W33)&gt;='Assumptions'!$B$12,"ESCALATE",IF(ABS($W33)&gt;='Assumptions'!$B$11,"REVIEW","ON TRACK")))</x:f>
      </x:c>
      <x:c r="Y33" s="16"/>
    </x:row>
    <x:row r="34" ht="15" hidden="0" customHeight="1">
      <x:c r="A34" s="24" t="str">
        <x:f>IF('Budget Input'!A34="","",'Budget Input'!A34)</x:f>
      </x:c>
      <x:c r="B34" s="24" t="str">
        <x:f>IF('Budget Input'!A34="","",'Budget Input'!C34)</x:f>
      </x:c>
      <x:c r="C34" s="24" t="str">
        <x:f>IF('Budget Input'!A34="","",'Budget Input'!D34)</x:f>
      </x:c>
      <x:c r="D34" s="24" t="str">
        <x:f>IF('Budget Input'!A34="","",'Budget Input'!F34)</x:f>
      </x:c>
      <x:c r="E34" s="24" t="str">
        <x:f>IF('Budget Input'!A34="","",'Budget Input'!H34)</x:f>
      </x:c>
      <x:c r="F34" s="32" t="str">
        <x:f>IF('Budget Input'!A34="","",'Budget Input'!J34)</x:f>
      </x:c>
      <x:c r="G34" s="31" t="n">
        <x:v>0</x:v>
      </x:c>
      <x:c r="H34" s="31" t="n">
        <x:v>0</x:v>
      </x:c>
      <x:c r="I34" s="31" t="n">
        <x:v>0</x:v>
      </x:c>
      <x:c r="J34" s="31" t="n">
        <x:v>0</x:v>
      </x:c>
      <x:c r="K34" s="31" t="n">
        <x:v>0</x:v>
      </x:c>
      <x:c r="L34" s="31" t="n">
        <x:v>0</x:v>
      </x:c>
      <x:c r="M34" s="31" t="n">
        <x:v>0</x:v>
      </x:c>
      <x:c r="N34" s="31" t="n">
        <x:v>0</x:v>
      </x:c>
      <x:c r="O34" s="31" t="n">
        <x:v>0</x:v>
      </x:c>
      <x:c r="P34" s="31" t="n">
        <x:v>0</x:v>
      </x:c>
      <x:c r="Q34" s="31" t="n">
        <x:v>0</x:v>
      </x:c>
      <x:c r="R34" s="31" t="n">
        <x:v>0</x:v>
      </x:c>
      <x:c r="S34" s="32" t="str">
        <x:f>IF($A34="","",SUM('Budget Input'!$K34:INDEX('Budget Input'!$K34:$V34,1,'Assumptions'!$B$6)))</x:f>
      </x:c>
      <x:c r="T34" s="32" t="str">
        <x:f>IF($A34="","",SUM($G34:INDEX($G34:$R34,1,'Assumptions'!$B$6)))</x:f>
      </x:c>
      <x:c r="U34" s="32" t="str">
        <x:f>IF($A34="","",ROUND(SUM(IF('Assumptions'!$B$6&gt;=1,$G34,'Budget Input'!$K34),IF('Assumptions'!$B$6&gt;=2,$H34,'Budget Input'!$L34),IF('Assumptions'!$B$6&gt;=3,$I34,'Budget Input'!$M34),IF('Assumptions'!$B$6&gt;=4,$J34,'Budget Input'!$N34),IF('Assumptions'!$B$6&gt;=5,$K34,'Budget Input'!$O34),IF('Assumptions'!$B$6&gt;=6,$L34,'Budget Input'!$P34),IF('Assumptions'!$B$6&gt;=7,$M34,'Budget Input'!$Q34),IF('Assumptions'!$B$6&gt;=8,$N34,'Budget Input'!$R34),IF('Assumptions'!$B$6&gt;=9,$O34,'Budget Input'!$S34),IF('Assumptions'!$B$6&gt;=10,$P34,'Budget Input'!$T34),IF('Assumptions'!$B$6&gt;=11,$Q34,'Budget Input'!$U34),IF('Assumptions'!$B$6&gt;=12,$R34,'Budget Input'!$V34)),0))</x:f>
      </x:c>
      <x:c r="V34" s="32" t="str">
        <x:f>IF($A34="","",$U34-$F34)</x:f>
      </x:c>
      <x:c r="W34" s="25" t="str">
        <x:f>IF($A34="","",IFERROR($V34/$F34,0))</x:f>
      </x:c>
      <x:c r="X34" s="24" t="str">
        <x:f>IF($A34="","",IF(ABS($W34)&gt;='Assumptions'!$B$12,"ESCALATE",IF(ABS($W34)&gt;='Assumptions'!$B$11,"REVIEW","ON TRACK")))</x:f>
      </x:c>
      <x:c r="Y34" s="16"/>
    </x:row>
    <x:row r="35" ht="15" hidden="0" customHeight="1">
      <x:c r="A35" s="24" t="str">
        <x:f>IF('Budget Input'!A35="","",'Budget Input'!A35)</x:f>
      </x:c>
      <x:c r="B35" s="24" t="str">
        <x:f>IF('Budget Input'!A35="","",'Budget Input'!C35)</x:f>
      </x:c>
      <x:c r="C35" s="24" t="str">
        <x:f>IF('Budget Input'!A35="","",'Budget Input'!D35)</x:f>
      </x:c>
      <x:c r="D35" s="24" t="str">
        <x:f>IF('Budget Input'!A35="","",'Budget Input'!F35)</x:f>
      </x:c>
      <x:c r="E35" s="24" t="str">
        <x:f>IF('Budget Input'!A35="","",'Budget Input'!H35)</x:f>
      </x:c>
      <x:c r="F35" s="32" t="str">
        <x:f>IF('Budget Input'!A35="","",'Budget Input'!J35)</x:f>
      </x:c>
      <x:c r="G35" s="31" t="n">
        <x:v>0</x:v>
      </x:c>
      <x:c r="H35" s="31" t="n">
        <x:v>0</x:v>
      </x:c>
      <x:c r="I35" s="31" t="n">
        <x:v>0</x:v>
      </x:c>
      <x:c r="J35" s="31" t="n">
        <x:v>0</x:v>
      </x:c>
      <x:c r="K35" s="31" t="n">
        <x:v>0</x:v>
      </x:c>
      <x:c r="L35" s="31" t="n">
        <x:v>0</x:v>
      </x:c>
      <x:c r="M35" s="31" t="n">
        <x:v>0</x:v>
      </x:c>
      <x:c r="N35" s="31" t="n">
        <x:v>0</x:v>
      </x:c>
      <x:c r="O35" s="31" t="n">
        <x:v>0</x:v>
      </x:c>
      <x:c r="P35" s="31" t="n">
        <x:v>0</x:v>
      </x:c>
      <x:c r="Q35" s="31" t="n">
        <x:v>0</x:v>
      </x:c>
      <x:c r="R35" s="31" t="n">
        <x:v>0</x:v>
      </x:c>
      <x:c r="S35" s="32" t="str">
        <x:f>IF($A35="","",SUM('Budget Input'!$K35:INDEX('Budget Input'!$K35:$V35,1,'Assumptions'!$B$6)))</x:f>
      </x:c>
      <x:c r="T35" s="32" t="str">
        <x:f>IF($A35="","",SUM($G35:INDEX($G35:$R35,1,'Assumptions'!$B$6)))</x:f>
      </x:c>
      <x:c r="U35" s="32" t="str">
        <x:f>IF($A35="","",ROUND(SUM(IF('Assumptions'!$B$6&gt;=1,$G35,'Budget Input'!$K35),IF('Assumptions'!$B$6&gt;=2,$H35,'Budget Input'!$L35),IF('Assumptions'!$B$6&gt;=3,$I35,'Budget Input'!$M35),IF('Assumptions'!$B$6&gt;=4,$J35,'Budget Input'!$N35),IF('Assumptions'!$B$6&gt;=5,$K35,'Budget Input'!$O35),IF('Assumptions'!$B$6&gt;=6,$L35,'Budget Input'!$P35),IF('Assumptions'!$B$6&gt;=7,$M35,'Budget Input'!$Q35),IF('Assumptions'!$B$6&gt;=8,$N35,'Budget Input'!$R35),IF('Assumptions'!$B$6&gt;=9,$O35,'Budget Input'!$S35),IF('Assumptions'!$B$6&gt;=10,$P35,'Budget Input'!$T35),IF('Assumptions'!$B$6&gt;=11,$Q35,'Budget Input'!$U35),IF('Assumptions'!$B$6&gt;=12,$R35,'Budget Input'!$V35)),0))</x:f>
      </x:c>
      <x:c r="V35" s="32" t="str">
        <x:f>IF($A35="","",$U35-$F35)</x:f>
      </x:c>
      <x:c r="W35" s="25" t="str">
        <x:f>IF($A35="","",IFERROR($V35/$F35,0))</x:f>
      </x:c>
      <x:c r="X35" s="24" t="str">
        <x:f>IF($A35="","",IF(ABS($W35)&gt;='Assumptions'!$B$12,"ESCALATE",IF(ABS($W35)&gt;='Assumptions'!$B$11,"REVIEW","ON TRACK")))</x:f>
      </x:c>
      <x:c r="Y35" s="16"/>
    </x:row>
    <x:row r="36" ht="15" hidden="0" customHeight="1">
      <x:c r="A36" s="24" t="str">
        <x:f>IF('Budget Input'!A36="","",'Budget Input'!A36)</x:f>
      </x:c>
      <x:c r="B36" s="24" t="str">
        <x:f>IF('Budget Input'!A36="","",'Budget Input'!C36)</x:f>
      </x:c>
      <x:c r="C36" s="24" t="str">
        <x:f>IF('Budget Input'!A36="","",'Budget Input'!D36)</x:f>
      </x:c>
      <x:c r="D36" s="24" t="str">
        <x:f>IF('Budget Input'!A36="","",'Budget Input'!F36)</x:f>
      </x:c>
      <x:c r="E36" s="24" t="str">
        <x:f>IF('Budget Input'!A36="","",'Budget Input'!H36)</x:f>
      </x:c>
      <x:c r="F36" s="32" t="str">
        <x:f>IF('Budget Input'!A36="","",'Budget Input'!J36)</x:f>
      </x:c>
      <x:c r="G36" s="31" t="n">
        <x:v>0</x:v>
      </x:c>
      <x:c r="H36" s="31" t="n">
        <x:v>0</x:v>
      </x:c>
      <x:c r="I36" s="31" t="n">
        <x:v>0</x:v>
      </x:c>
      <x:c r="J36" s="31" t="n">
        <x:v>0</x:v>
      </x:c>
      <x:c r="K36" s="31" t="n">
        <x:v>0</x:v>
      </x:c>
      <x:c r="L36" s="31" t="n">
        <x:v>0</x:v>
      </x:c>
      <x:c r="M36" s="31" t="n">
        <x:v>0</x:v>
      </x:c>
      <x:c r="N36" s="31" t="n">
        <x:v>0</x:v>
      </x:c>
      <x:c r="O36" s="31" t="n">
        <x:v>0</x:v>
      </x:c>
      <x:c r="P36" s="31" t="n">
        <x:v>0</x:v>
      </x:c>
      <x:c r="Q36" s="31" t="n">
        <x:v>0</x:v>
      </x:c>
      <x:c r="R36" s="31" t="n">
        <x:v>0</x:v>
      </x:c>
      <x:c r="S36" s="32" t="str">
        <x:f>IF($A36="","",SUM('Budget Input'!$K36:INDEX('Budget Input'!$K36:$V36,1,'Assumptions'!$B$6)))</x:f>
      </x:c>
      <x:c r="T36" s="32" t="str">
        <x:f>IF($A36="","",SUM($G36:INDEX($G36:$R36,1,'Assumptions'!$B$6)))</x:f>
      </x:c>
      <x:c r="U36" s="32" t="str">
        <x:f>IF($A36="","",ROUND(SUM(IF('Assumptions'!$B$6&gt;=1,$G36,'Budget Input'!$K36),IF('Assumptions'!$B$6&gt;=2,$H36,'Budget Input'!$L36),IF('Assumptions'!$B$6&gt;=3,$I36,'Budget Input'!$M36),IF('Assumptions'!$B$6&gt;=4,$J36,'Budget Input'!$N36),IF('Assumptions'!$B$6&gt;=5,$K36,'Budget Input'!$O36),IF('Assumptions'!$B$6&gt;=6,$L36,'Budget Input'!$P36),IF('Assumptions'!$B$6&gt;=7,$M36,'Budget Input'!$Q36),IF('Assumptions'!$B$6&gt;=8,$N36,'Budget Input'!$R36),IF('Assumptions'!$B$6&gt;=9,$O36,'Budget Input'!$S36),IF('Assumptions'!$B$6&gt;=10,$P36,'Budget Input'!$T36),IF('Assumptions'!$B$6&gt;=11,$Q36,'Budget Input'!$U36),IF('Assumptions'!$B$6&gt;=12,$R36,'Budget Input'!$V36)),0))</x:f>
      </x:c>
      <x:c r="V36" s="32" t="str">
        <x:f>IF($A36="","",$U36-$F36)</x:f>
      </x:c>
      <x:c r="W36" s="25" t="str">
        <x:f>IF($A36="","",IFERROR($V36/$F36,0))</x:f>
      </x:c>
      <x:c r="X36" s="24" t="str">
        <x:f>IF($A36="","",IF(ABS($W36)&gt;='Assumptions'!$B$12,"ESCALATE",IF(ABS($W36)&gt;='Assumptions'!$B$11,"REVIEW","ON TRACK")))</x:f>
      </x:c>
      <x:c r="Y36" s="16"/>
    </x:row>
  </x:sheetData>
  <x:mergeCells>
    <x:mergeCell ref="A1:W1"/>
    <x:mergeCell ref="A2:P2"/>
    <x:mergeCell ref="A4:W4"/>
  </x:mergeCells>
  <x:conditionalFormatting sqref="X7:X36">
    <x:cfRule type="containsText" dxfId="0" priority="1" operator="containsText" text="ESCALATE"/>
    <x:cfRule type="containsText" dxfId="1" priority="2" operator="containsText" text="REVIEW"/>
    <x:cfRule type="containsText" dxfId="2" priority="3" operator="containsText" text="ON TRACK"/>
  </x:conditionalFormatting>
  <x:pageMargins left="0.7" right="0.7" top="0.75" bottom="0.75" header="0.3" footer="0.3"/>
  <x:tableParts count="1">
    <x:tablePart xmlns:r="http://schemas.openxmlformats.org/officeDocument/2006/relationships" r:id="R3bb5df4a0f2847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2" hidden="0" customWidth="1"/>
    <x:col min="4" max="4" width="26" hidden="0" customWidth="1"/>
    <x:col min="5" max="5" width="30" hidden="0" customWidth="1"/>
    <x:col min="6" max="6" width="44" hidden="0" customWidth="1"/>
    <x:col min="7" max="7" width="18" hidden="0" customWidth="1"/>
    <x:col min="8" max="8" width="16" hidden="0" customWidth="1"/>
    <x:col min="9" max="9" width="30" hidden="0" customWidth="1"/>
    <x:col min="10" max="10" width="18" hidden="0" customWidth="1"/>
  </x:cols>
  <x:sheetData>
    <x:row r="1" ht="19.200000762939453" hidden="0" customHeight="1">
      <x:c r="A1" s="4" t="str">
        <x:v>APO06 Governance, Approval &amp; Reforecast Log</x:v>
      </x:c>
      <x:c r="B1" s="4" t="str">
        <x:v>APO06 Governance, Approval &amp; Reforecast Log</x:v>
      </x:c>
      <x:c r="C1" s="4" t="str">
        <x:v>APO06 Governance, Approval &amp; Reforecast Log</x:v>
      </x:c>
      <x:c r="D1" s="4" t="str">
        <x:v>APO06 Governance, Approval &amp; Reforecast Log</x:v>
      </x:c>
      <x:c r="E1" s="4" t="str">
        <x:v>APO06 Governance, Approval &amp; Reforecast Log</x:v>
      </x:c>
      <x:c r="F1" s="4" t="str">
        <x:v>APO06 Governance, Approval &amp; Reforecast Log</x:v>
      </x:c>
      <x:c r="G1" s="4" t="str">
        <x:v>APO06 Governance, Approval &amp; Reforecast Log</x:v>
      </x:c>
      <x:c r="H1" s="4" t="str">
        <x:v>APO06 Governance, Approval &amp; Reforecast Log</x:v>
      </x:c>
      <x:c r="I1" s="4" t="str">
        <x:v>APO06 Governance, Approval &amp; Reforecast Log</x:v>
      </x:c>
      <x:c r="J1" s="4" t="str">
        <x:v>APO06 Governance, Approval &amp; Reforecast Log</x:v>
      </x:c>
    </x:row>
    <x:row r="2" ht="15" hidden="0" customHeight="1">
      <x:c r="A2" s="7" t="str">
        <x:v>Template includes ownership, approval evidence, planned cadence, and COBIT-aligned financial control activities.</x:v>
      </x:c>
      <x:c r="B2" s="7" t="str">
        <x:v>Template includes ownership, approval evidence, planned cadence, and COBIT-aligned financial control activities.</x:v>
      </x:c>
      <x:c r="C2" s="7" t="str">
        <x:v>Template includes ownership, approval evidence, planned cadence, and COBIT-aligned financial control activities.</x:v>
      </x:c>
      <x:c r="D2" s="7" t="str">
        <x:v>Template includes ownership, approval evidence, planned cadence, and COBIT-aligned financial control activities.</x:v>
      </x:c>
      <x:c r="E2" s="7" t="str">
        <x:v>Template includes ownership, approval evidence, planned cadence, and COBIT-aligned financial control activities.</x:v>
      </x:c>
      <x:c r="F2" s="7" t="str">
        <x:v>Template includes ownership, approval evidence, planned cadence, and COBIT-aligned financial control activities.</x:v>
      </x:c>
      <x:c r="G2" s="7" t="str">
        <x:v>Template includes ownership, approval evidence, planned cadence, and COBIT-aligned financial control activities.</x:v>
      </x:c>
      <x:c r="H2" s="7" t="str">
        <x:v>Template includes ownership, approval evidence, planned cadence, and COBIT-aligned financial control activities.</x:v>
      </x:c>
      <x:c r="I2" s="7" t="str">
        <x:v>Template includes ownership, approval evidence, planned cadence, and COBIT-aligned financial control activities.</x:v>
      </x:c>
      <x:c r="J2" s="7" t="str">
        <x:v>Template includes ownership, approval evidence, planned cadence, and COBIT-aligned financial control activities.</x:v>
      </x:c>
      <x:c r="K2" s="7" t="str">
        <x:v>Template includes ownership, approval evidence, planned cadence, and COBIT-aligned financial control activities.</x:v>
      </x:c>
      <x:c r="L2" s="7" t="str">
        <x:v>Template includes ownership, approval evidence, planned cadence, and COBIT-aligned financial control activities.</x:v>
      </x:c>
      <x:c r="M2" s="7" t="str">
        <x:v>Template includes ownership, approval evidence, planned cadence, and COBIT-aligned financial control activities.</x:v>
      </x:c>
      <x:c r="N2" s="7" t="str">
        <x:v>Template includes ownership, approval evidence, planned cadence, and COBIT-aligned financial control activities.</x:v>
      </x:c>
      <x:c r="O2" s="7" t="str">
        <x:v>Template includes ownership, approval evidence, planned cadence, and COBIT-aligned financial control activities.</x:v>
      </x:c>
      <x:c r="P2" s="7" t="str">
        <x:v>Template includes ownership, approval evidence, planned cadence, and COBIT-aligned financial control activities.</x:v>
      </x:c>
    </x:row>
    <x:row r="3"/>
    <x:row r="4" ht="15" hidden="0" customHeight="1">
      <x:c r="A4" s="10" t="str">
        <x:v>Approval / change request register</x:v>
      </x:c>
      <x:c r="B4" s="10" t="str">
        <x:v>Approval / change request register</x:v>
      </x:c>
      <x:c r="C4" s="10" t="str">
        <x:v>Approval / change request register</x:v>
      </x:c>
      <x:c r="D4" s="10" t="str">
        <x:v>Approval / change request register</x:v>
      </x:c>
      <x:c r="E4" s="10" t="str">
        <x:v>Approval / change request register</x:v>
      </x:c>
      <x:c r="F4" s="10" t="str">
        <x:v>Approval / change request register</x:v>
      </x:c>
      <x:c r="G4" s="10" t="str">
        <x:v>Approval / change request register</x:v>
      </x:c>
      <x:c r="H4" s="10" t="str">
        <x:v>Approval / change request register</x:v>
      </x:c>
      <x:c r="I4" s="10" t="str">
        <x:v>Approval / change request register</x:v>
      </x:c>
      <x:c r="J4" s="10" t="str">
        <x:v>Approval / change request register</x:v>
      </x:c>
    </x:row>
    <x:row r="5" ht="15" hidden="0" customHeight="1">
      <x:c r="A5" s="22" t="str">
        <x:v>Request / Version</x:v>
      </x:c>
      <x:c r="B5" s="22" t="str">
        <x:v>Effective Date</x:v>
      </x:c>
      <x:c r="C5" s="22" t="str">
        <x:v>Scope / Budget ID</x:v>
      </x:c>
      <x:c r="D5" s="22" t="str">
        <x:v>Change Type</x:v>
      </x:c>
      <x:c r="E5" s="22" t="str">
        <x:v>Requested Amount</x:v>
      </x:c>
      <x:c r="F5" s="22" t="str">
        <x:v>Business Case / Rationale</x:v>
      </x:c>
      <x:c r="G5" s="22" t="str">
        <x:v>Prepared By</x:v>
      </x:c>
      <x:c r="H5" s="22" t="str">
        <x:v>Approval Status</x:v>
      </x:c>
      <x:c r="I5" s="22" t="str">
        <x:v>Approver / Evidence Ref</x:v>
      </x:c>
      <x:c r="J5" s="22" t="str">
        <x:v>Decision Date</x:v>
      </x:c>
    </x:row>
    <x:row r="6" ht="26.399999618530273" hidden="0" customHeight="1">
      <x:c r="A6" s="34" t="str">
        <x:v>Working Budget v1.0</x:v>
      </x:c>
      <x:c r="B6" s="35" t="n">
        <x:v>46388</x:v>
      </x:c>
      <x:c r="C6" s="34" t="str">
        <x:v>Annual IT Portfolio</x:v>
      </x:c>
      <x:c r="D6" s="34" t="str">
        <x:v>Annual approval</x:v>
      </x:c>
      <x:c r="E6" s="36" t="n">
        <x:v>5030000000</x:v>
      </x:c>
      <x:c r="F6" s="34" t="str">
        <x:v>Annual funding envelope, portfolio prioritisation and cost allocation</x:v>
      </x:c>
      <x:c r="G6" s="34" t="str">
        <x:v>Head of IT Finance</x:v>
      </x:c>
      <x:c r="H6" s="34" t="str">
        <x:v>Pending</x:v>
      </x:c>
      <x:c r="I6" s="34" t="str">
        <x:v>CIO / CFO approval record</x:v>
      </x:c>
      <x:c r="J6" s="35"/>
    </x:row>
    <x:row r="7" ht="15" hidden="0" customHeight="1">
      <x:c r="A7" s="34"/>
      <x:c r="B7" s="35"/>
      <x:c r="C7" s="34"/>
      <x:c r="D7" s="34"/>
      <x:c r="E7" s="36"/>
      <x:c r="F7" s="34"/>
      <x:c r="G7" s="34"/>
      <x:c r="H7" s="34"/>
      <x:c r="I7" s="34"/>
      <x:c r="J7" s="35"/>
    </x:row>
    <x:row r="8" ht="15" hidden="0" customHeight="1">
      <x:c r="A8" s="34"/>
      <x:c r="B8" s="35"/>
      <x:c r="C8" s="34"/>
      <x:c r="D8" s="34"/>
      <x:c r="E8" s="36"/>
      <x:c r="F8" s="34"/>
      <x:c r="G8" s="34"/>
      <x:c r="H8" s="34"/>
      <x:c r="I8" s="34"/>
      <x:c r="J8" s="35"/>
    </x:row>
    <x:row r="9" ht="15" hidden="0" customHeight="1">
      <x:c r="A9" s="34"/>
      <x:c r="B9" s="35"/>
      <x:c r="C9" s="34"/>
      <x:c r="D9" s="34"/>
      <x:c r="E9" s="36"/>
      <x:c r="F9" s="34"/>
      <x:c r="G9" s="34"/>
      <x:c r="H9" s="34"/>
      <x:c r="I9" s="34"/>
      <x:c r="J9" s="35"/>
    </x:row>
    <x:row r="10" ht="15" hidden="0" customHeight="1">
      <x:c r="A10" s="34"/>
      <x:c r="B10" s="35"/>
      <x:c r="C10" s="34"/>
      <x:c r="D10" s="34"/>
      <x:c r="E10" s="36"/>
      <x:c r="F10" s="34"/>
      <x:c r="G10" s="34"/>
      <x:c r="H10" s="34"/>
      <x:c r="I10" s="34"/>
      <x:c r="J10" s="35"/>
    </x:row>
    <x:row r="11" ht="15" hidden="0" customHeight="1">
      <x:c r="A11" s="34"/>
      <x:c r="B11" s="35"/>
      <x:c r="C11" s="34"/>
      <x:c r="D11" s="34"/>
      <x:c r="E11" s="36"/>
      <x:c r="F11" s="34"/>
      <x:c r="G11" s="34"/>
      <x:c r="H11" s="34"/>
      <x:c r="I11" s="34"/>
      <x:c r="J11" s="35"/>
    </x:row>
    <x:row r="12" ht="15" hidden="0" customHeight="1">
      <x:c r="A12" s="34"/>
      <x:c r="B12" s="35"/>
      <x:c r="C12" s="34"/>
      <x:c r="D12" s="34"/>
      <x:c r="E12" s="36"/>
      <x:c r="F12" s="34"/>
      <x:c r="G12" s="34"/>
      <x:c r="H12" s="34"/>
      <x:c r="I12" s="34"/>
      <x:c r="J12" s="35"/>
    </x:row>
    <x:row r="13" ht="15" hidden="0" customHeight="1">
      <x:c r="A13" s="34"/>
      <x:c r="B13" s="35"/>
      <x:c r="C13" s="34"/>
      <x:c r="D13" s="34"/>
      <x:c r="E13" s="36"/>
      <x:c r="F13" s="34"/>
      <x:c r="G13" s="34"/>
      <x:c r="H13" s="34"/>
      <x:c r="I13" s="34"/>
      <x:c r="J13" s="35"/>
    </x:row>
    <x:row r="14" ht="15" hidden="0" customHeight="1">
      <x:c r="A14" s="34"/>
      <x:c r="B14" s="35"/>
      <x:c r="C14" s="34"/>
      <x:c r="D14" s="34"/>
      <x:c r="E14" s="36"/>
      <x:c r="F14" s="34"/>
      <x:c r="G14" s="34"/>
      <x:c r="H14" s="34"/>
      <x:c r="I14" s="34"/>
      <x:c r="J14" s="35"/>
    </x:row>
    <x:row r="15" ht="15" hidden="0" customHeight="1">
      <x:c r="A15" s="34"/>
      <x:c r="B15" s="35"/>
      <x:c r="C15" s="34"/>
      <x:c r="D15" s="34"/>
      <x:c r="E15" s="36"/>
      <x:c r="F15" s="34"/>
      <x:c r="G15" s="34"/>
      <x:c r="H15" s="34"/>
      <x:c r="I15" s="34"/>
      <x:c r="J15" s="35"/>
    </x:row>
    <x:row r="16" ht="15" hidden="0" customHeight="1">
      <x:c r="A16" s="34"/>
      <x:c r="B16" s="35"/>
      <x:c r="C16" s="34"/>
      <x:c r="D16" s="34"/>
      <x:c r="E16" s="36"/>
      <x:c r="F16" s="34"/>
      <x:c r="G16" s="34"/>
      <x:c r="H16" s="34"/>
      <x:c r="I16" s="34"/>
      <x:c r="J16" s="35"/>
    </x:row>
    <x:row r="17" ht="15" hidden="0" customHeight="1">
      <x:c r="A17" s="34"/>
      <x:c r="B17" s="35"/>
      <x:c r="C17" s="34"/>
      <x:c r="D17" s="34"/>
      <x:c r="E17" s="36"/>
      <x:c r="F17" s="34"/>
      <x:c r="G17" s="34"/>
      <x:c r="H17" s="34"/>
      <x:c r="I17" s="34"/>
      <x:c r="J17" s="35"/>
    </x:row>
    <x:row r="18" ht="15" hidden="0" customHeight="1">
      <x:c r="A18" s="34"/>
      <x:c r="B18" s="35"/>
      <x:c r="C18" s="34"/>
      <x:c r="D18" s="34"/>
      <x:c r="E18" s="36"/>
      <x:c r="F18" s="34"/>
      <x:c r="G18" s="34"/>
      <x:c r="H18" s="34"/>
      <x:c r="I18" s="34"/>
      <x:c r="J18" s="35"/>
    </x:row>
    <x:row r="19" ht="15" hidden="0" customHeight="1">
      <x:c r="A19" s="34"/>
      <x:c r="B19" s="35"/>
      <x:c r="C19" s="34"/>
      <x:c r="D19" s="34"/>
      <x:c r="E19" s="36"/>
      <x:c r="F19" s="34"/>
      <x:c r="G19" s="34"/>
      <x:c r="H19" s="34"/>
      <x:c r="I19" s="34"/>
      <x:c r="J19" s="35"/>
    </x:row>
    <x:row r="20" ht="15" hidden="0" customHeight="1">
      <x:c r="A20" s="34"/>
      <x:c r="B20" s="35"/>
      <x:c r="C20" s="34"/>
      <x:c r="D20" s="34"/>
      <x:c r="E20" s="36"/>
      <x:c r="F20" s="34"/>
      <x:c r="G20" s="34"/>
      <x:c r="H20" s="34"/>
      <x:c r="I20" s="34"/>
      <x:c r="J20" s="35"/>
    </x:row>
    <x:row r="21"/>
    <x:row r="22"/>
    <x:row r="23" ht="15" hidden="0" customHeight="1">
      <x:c r="A23" s="10" t="str">
        <x:v>COBIT 2019 APO06 control map and operating cadence</x:v>
      </x:c>
      <x:c r="B23" s="10" t="str">
        <x:v>COBIT 2019 APO06 control map and operating cadence</x:v>
      </x:c>
      <x:c r="C23" s="10" t="str">
        <x:v>COBIT 2019 APO06 control map and operating cadence</x:v>
      </x:c>
      <x:c r="D23" s="10" t="str">
        <x:v>COBIT 2019 APO06 control map and operating cadence</x:v>
      </x:c>
      <x:c r="E23" s="10" t="str">
        <x:v>COBIT 2019 APO06 control map and operating cadence</x:v>
      </x:c>
      <x:c r="F23" s="10" t="str">
        <x:v>COBIT 2019 APO06 control map and operating cadence</x:v>
      </x:c>
      <x:c r="G23" s="10" t="str">
        <x:v>COBIT 2019 APO06 control map and operating cadence</x:v>
      </x:c>
      <x:c r="H23" s="10" t="str">
        <x:v>COBIT 2019 APO06 control map and operating cadence</x:v>
      </x:c>
      <x:c r="I23" s="10" t="str">
        <x:v>COBIT 2019 APO06 control map and operating cadence</x:v>
      </x:c>
      <x:c r="J23" s="10" t="str">
        <x:v>COBIT 2019 APO06 control map and operating cadence</x:v>
      </x:c>
    </x:row>
    <x:row r="24" ht="15" hidden="0" customHeight="1">
      <x:c r="A24" s="22" t="str">
        <x:v>APO06 focus</x:v>
      </x:c>
      <x:c r="B24" s="22" t="str">
        <x:v>Control activity</x:v>
      </x:c>
      <x:c r="C24" s="22" t="str">
        <x:v>Frequency</x:v>
      </x:c>
      <x:c r="D24" s="22" t="str">
        <x:v>Accountable</x:v>
      </x:c>
      <x:c r="E24" s="22" t="str">
        <x:v>Evidence</x:v>
      </x:c>
      <x:c r="F24" s="22" t="str">
        <x:v>Control objective</x:v>
      </x:c>
    </x:row>
    <x:row r="25" ht="26.399999618530273" hidden="0" customHeight="1">
      <x:c r="A25" s="27" t="str">
        <x:v>Budget setting</x:v>
      </x:c>
      <x:c r="B25" s="27" t="str">
        <x:v>Establish annual and periodic IT budget, funding sources and cost allocation</x:v>
      </x:c>
      <x:c r="C25" s="27" t="str">
        <x:v>Annual + rolling forecast</x:v>
      </x:c>
      <x:c r="D25" s="27" t="str">
        <x:v>CIO / IT Finance</x:v>
      </x:c>
      <x:c r="E25" s="27" t="str">
        <x:v>Approved budget; planning pack</x:v>
      </x:c>
      <x:c r="F25" s="27" t="str">
        <x:v>Align spending with enterprise strategy and portfolio</x:v>
      </x:c>
    </x:row>
    <x:row r="26" ht="26.399999618530273" hidden="0" customHeight="1">
      <x:c r="A26" s="27" t="str">
        <x:v>Cost management</x:v>
      </x:c>
      <x:c r="B26" s="27" t="str">
        <x:v>Record actuals and monitor budget-to-actual / forecast variance</x:v>
      </x:c>
      <x:c r="C26" s="27" t="str">
        <x:v>Monthly</x:v>
      </x:c>
      <x:c r="D26" s="27" t="str">
        <x:v>IT Finance Manager</x:v>
      </x:c>
      <x:c r="E26" s="27" t="str">
        <x:v>Monthly close; variance report</x:v>
      </x:c>
      <x:c r="F26" s="27" t="str">
        <x:v>Identify variance early and initiate corrective action</x:v>
      </x:c>
    </x:row>
    <x:row r="27" ht="26.399999618530273" hidden="0" customHeight="1">
      <x:c r="A27" s="27" t="str">
        <x:v>Cost-benefit</x:v>
      </x:c>
      <x:c r="B27" s="27" t="str">
        <x:v>Validate material initiatives against benefit case and affordability</x:v>
      </x:c>
      <x:c r="C27" s="27" t="str">
        <x:v>At intake and stage gates</x:v>
      </x:c>
      <x:c r="D27" s="27" t="str">
        <x:v>Portfolio Owner</x:v>
      </x:c>
      <x:c r="E27" s="27" t="str">
        <x:v>Business case; stage-gate approval</x:v>
      </x:c>
      <x:c r="F27" s="27" t="str">
        <x:v>Ensure investments are traceable to expected value</x:v>
      </x:c>
    </x:row>
    <x:row r="28" ht="26.399999618530273" hidden="0" customHeight="1">
      <x:c r="A28" s="27" t="str">
        <x:v>Reforecast</x:v>
      </x:c>
      <x:c r="B28" s="27" t="str">
        <x:v>Refresh forecast, risks and commitments; update action owner</x:v>
      </x:c>
      <x:c r="C28" s="27" t="str">
        <x:v>Quarterly or trigger-based</x:v>
      </x:c>
      <x:c r="D28" s="27" t="str">
        <x:v>CIO / CFO delegate</x:v>
      </x:c>
      <x:c r="E28" s="27" t="str">
        <x:v>Reforecast version; approval log</x:v>
      </x:c>
      <x:c r="F28" s="27" t="str">
        <x:v>Maintain predictable, sustainable funding</x:v>
      </x:c>
    </x:row>
    <x:row r="29" ht="26.399999618530273" hidden="0" customHeight="1">
      <x:c r="A29" s="27" t="str">
        <x:v>Chargeback / allocation</x:v>
      </x:c>
      <x:c r="B29" s="27" t="str">
        <x:v>Review allocation model and communicate charges where adopted</x:v>
      </x:c>
      <x:c r="C29" s="27" t="str">
        <x:v>Quarterly</x:v>
      </x:c>
      <x:c r="D29" s="27" t="str">
        <x:v>IT Finance / Service Owner</x:v>
      </x:c>
      <x:c r="E29" s="27" t="str">
        <x:v>Allocation model; stakeholder sign-off</x:v>
      </x:c>
      <x:c r="F29" s="27" t="str">
        <x:v>Ensure transparent and measurable cost allocation</x:v>
      </x:c>
    </x:row>
  </x:sheetData>
  <x:mergeCells>
    <x:mergeCell ref="A1:J1"/>
    <x:mergeCell ref="A2:P2"/>
    <x:mergeCell ref="A4:J4"/>
    <x:mergeCell ref="A23:J23"/>
  </x:mergeCells>
  <x:dataValidations count="1">
    <x:dataValidation type="list" sqref="H6:H20">
      <x:formula1>"Draft,Pending,Approved,Rejected,Superseded"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16" hidden="0" customWidth="1"/>
    <x:col min="4" max="4" width="18" hidden="0" customWidth="1"/>
    <x:col min="5" max="5" width="18" hidden="0" customWidth="1"/>
    <x:col min="6" max="6" width="24" hidden="0" customWidth="1"/>
    <x:col min="7" max="7" width="50" hidden="0" customWidth="1"/>
    <x:col min="8" max="8" width="18" hidden="0" customWidth="1"/>
    <x:col min="9" max="9" width="52" hidden="0" customWidth="1"/>
    <x:col min="10" max="10" width="18" hidden="0" customWidth="1"/>
  </x:cols>
  <x:sheetData>
    <x:row r="1" ht="19.200000762939453" hidden="0" customHeight="1">
      <x:c r="A1" s="4" t="str">
        <x:v>Model Checks &amp; Source Register</x:v>
      </x:c>
      <x:c r="B1" s="4" t="str">
        <x:v>Model Checks &amp; Source Register</x:v>
      </x:c>
      <x:c r="C1" s="4" t="str">
        <x:v>Model Checks &amp; Source Register</x:v>
      </x:c>
      <x:c r="D1" s="4" t="str">
        <x:v>Model Checks &amp; Source Register</x:v>
      </x:c>
      <x:c r="E1" s="4" t="str">
        <x:v>Model Checks &amp; Source Register</x:v>
      </x:c>
      <x:c r="F1" s="4" t="str">
        <x:v>Model Checks &amp; Source Register</x:v>
      </x:c>
      <x:c r="G1" s="4" t="str">
        <x:v>Model Checks &amp; Source Register</x:v>
      </x:c>
      <x:c r="H1" s="4" t="str">
        <x:v>Model Checks &amp; Source Register</x:v>
      </x:c>
    </x:row>
    <x:row r="2" ht="15" hidden="0" customHeight="1">
      <x:c r="A2" s="7" t="str">
        <x:v>Use this tab as a control point for monthly close and audit evidence. PASS means the template's core checks currently reconcile.</x:v>
      </x:c>
      <x:c r="B2" s="7" t="str">
        <x:v>Use this tab as a control point for monthly close and audit evidence. PASS means the template's core checks currently reconcile.</x:v>
      </x:c>
      <x:c r="C2" s="7" t="str">
        <x:v>Use this tab as a control point for monthly close and audit evidence. PASS means the template's core checks currently reconcile.</x:v>
      </x:c>
      <x:c r="D2" s="7" t="str">
        <x:v>Use this tab as a control point for monthly close and audit evidence. PASS means the template's core checks currently reconcile.</x:v>
      </x:c>
      <x:c r="E2" s="7" t="str">
        <x:v>Use this tab as a control point for monthly close and audit evidence. PASS means the template's core checks currently reconcile.</x:v>
      </x:c>
      <x:c r="F2" s="7" t="str">
        <x:v>Use this tab as a control point for monthly close and audit evidence. PASS means the template's core checks currently reconcile.</x:v>
      </x:c>
      <x:c r="G2" s="7" t="str">
        <x:v>Use this tab as a control point for monthly close and audit evidence. PASS means the template's core checks currently reconcile.</x:v>
      </x:c>
      <x:c r="H2" s="7" t="str">
        <x:v>Use this tab as a control point for monthly close and audit evidence. PASS means the template's core checks currently reconcile.</x:v>
      </x:c>
      <x:c r="I2" s="7" t="str">
        <x:v>Use this tab as a control point for monthly close and audit evidence. PASS means the template's core checks currently reconcile.</x:v>
      </x:c>
      <x:c r="J2" s="7" t="str">
        <x:v>Use this tab as a control point for monthly close and audit evidence. PASS means the template's core checks currently reconcile.</x:v>
      </x:c>
      <x:c r="K2" s="7" t="str">
        <x:v>Use this tab as a control point for monthly close and audit evidence. PASS means the template's core checks currently reconcile.</x:v>
      </x:c>
      <x:c r="L2" s="7" t="str">
        <x:v>Use this tab as a control point for monthly close and audit evidence. PASS means the template's core checks currently reconcile.</x:v>
      </x:c>
      <x:c r="M2" s="7" t="str">
        <x:v>Use this tab as a control point for monthly close and audit evidence. PASS means the template's core checks currently reconcile.</x:v>
      </x:c>
      <x:c r="N2" s="7" t="str">
        <x:v>Use this tab as a control point for monthly close and audit evidence. PASS means the template's core checks currently reconcile.</x:v>
      </x:c>
      <x:c r="O2" s="7" t="str">
        <x:v>Use this tab as a control point for monthly close and audit evidence. PASS means the template's core checks currently reconcile.</x:v>
      </x:c>
      <x:c r="P2" s="7" t="str">
        <x:v>Use this tab as a control point for monthly close and audit evidence. PASS means the template's core checks currently reconcile.</x:v>
      </x:c>
    </x:row>
    <x:row r="3"/>
    <x:row r="4" ht="15" hidden="0" customHeight="1">
      <x:c r="A4" s="10" t="str">
        <x:v>Model control status</x:v>
      </x:c>
      <x:c r="B4" s="10" t="str">
        <x:v>Model control status</x:v>
      </x:c>
      <x:c r="C4" s="10" t="str">
        <x:v>Model control status</x:v>
      </x:c>
      <x:c r="D4" s="10" t="str">
        <x:v>Model control status</x:v>
      </x:c>
      <x:c r="E4" s="10" t="str">
        <x:v>Model control status</x:v>
      </x:c>
      <x:c r="F4" s="10" t="str">
        <x:v>Model control status</x:v>
      </x:c>
    </x:row>
    <x:row r="5" ht="15" hidden="0" customHeight="1">
      <x:c r="A5" s="22" t="str">
        <x:v>Check</x:v>
      </x:c>
      <x:c r="B5" s="22" t="str">
        <x:v>Result</x:v>
      </x:c>
      <x:c r="C5" s="22" t="str">
        <x:v>Where to fix</x:v>
      </x:c>
      <x:c r="D5" s="22" t="str">
        <x:v>Notes</x:v>
      </x:c>
    </x:row>
    <x:row r="6" ht="26.399999618530273" hidden="0" customHeight="1">
      <x:c r="A6" s="27" t="str">
        <x:v>Monthly phasing totals 100%</x:v>
      </x:c>
      <x:c r="B6" s="37" t="str">
        <x:f>IF('Assumptions'!$Q$7=1,"PASS","FAIL")</x:f>
        <x:v>PASS</x:v>
      </x:c>
      <x:c r="C6" s="27" t="str">
        <x:v>Assumptions!F6:Q6</x:v>
      </x:c>
      <x:c r="D6" s="27" t="str">
        <x:v>Distribution must be exactly 100%.</x:v>
      </x:c>
    </x:row>
    <x:row r="7" ht="39.599998474121094" hidden="0" customHeight="1">
      <x:c r="A7" s="27" t="str">
        <x:v>Budget input rows have Budget ID</x:v>
      </x:c>
      <x:c r="B7" s="37" t="str">
        <x:f>IF(COUNTBLANK('Budget Input'!$A$7:$A$11)=0,"PASS","REVIEW")</x:f>
        <x:v>PASS</x:v>
      </x:c>
      <x:c r="C7" s="27" t="str">
        <x:v>Budget Input!A7:A36</x:v>
      </x:c>
      <x:c r="D7" s="27" t="str">
        <x:v>At least the active budget lines require IDs.</x:v>
      </x:c>
    </x:row>
    <x:row r="8" ht="26.399999618530273" hidden="0" customHeight="1">
      <x:c r="A8" s="27" t="str">
        <x:v>FY forecast reconciles to budget control</x:v>
      </x:c>
      <x:c r="B8" s="37" t="str">
        <x:f>IF(ABS(SUM('Budget Control'!$U$7:$U$36)-SUM('Budget Control'!$F$7:$F$36)-SUM('Budget Control'!$V$7:$V$36))&lt;1,"PASS","FAIL")</x:f>
        <x:v>PASS</x:v>
      </x:c>
      <x:c r="C8" s="27" t="str">
        <x:v>Budget Control!F:V</x:v>
      </x:c>
      <x:c r="D8" s="27" t="str">
        <x:v>Forecast = budget + variance.</x:v>
      </x:c>
    </x:row>
    <x:row r="9" ht="39.599998474121094" hidden="0" customHeight="1">
      <x:c r="A9" s="27" t="str">
        <x:v>No forecast exceptions above escalation threshold</x:v>
      </x:c>
      <x:c r="B9" s="37" t="str">
        <x:f>IF(COUNTIF('Budget Control'!$X$7:$X$36,"ESCALATE")=0,"PASS","REVIEW")</x:f>
        <x:v>PASS</x:v>
      </x:c>
      <x:c r="C9" s="27" t="str">
        <x:v>Budget Control!X:X</x:v>
      </x:c>
      <x:c r="D9" s="27" t="str">
        <x:v>Escalate variance is driven by threshold in Assumptions.</x:v>
      </x:c>
    </x:row>
    <x:row r="10" ht="26.399999618530273" hidden="0" customHeight="1">
      <x:c r="A10" s="27" t="str">
        <x:v>Model status</x:v>
      </x:c>
      <x:c r="B10" s="37" t="str">
        <x:f>IF(COUNTIF(B6:B9,"FAIL")&gt;0,"FAIL",IF(COUNTIF(B6:B9,"REVIEW")&gt;0,"REVIEW","PASS"))</x:f>
        <x:v>PASS</x:v>
      </x:c>
      <x:c r="C10" s="27" t="str">
        <x:v>Resolve failed or review items above</x:v>
      </x:c>
      <x:c r="D10" s="27" t="str">
        <x:v>Summary of required control action.</x:v>
      </x:c>
    </x:row>
    <x:row r="11"/>
    <x:row r="12"/>
    <x:row r="13" ht="15" hidden="0" customHeight="1">
      <x:c r="A13" s="10" t="str">
        <x:v>Source register</x:v>
      </x:c>
      <x:c r="B13" s="10" t="str">
        <x:v>Source register</x:v>
      </x:c>
      <x:c r="C13" s="10" t="str">
        <x:v>Source register</x:v>
      </x:c>
      <x:c r="D13" s="10" t="str">
        <x:v>Source register</x:v>
      </x:c>
      <x:c r="E13" s="10" t="str">
        <x:v>Source register</x:v>
      </x:c>
      <x:c r="F13" s="10" t="str">
        <x:v>Source register</x:v>
      </x:c>
      <x:c r="G13" s="10" t="str">
        <x:v>Source register</x:v>
      </x:c>
      <x:c r="H13" s="10" t="str">
        <x:v>Source register</x:v>
      </x:c>
      <x:c r="I13" s="10" t="str">
        <x:v>Source register</x:v>
      </x:c>
      <x:c r="J13" s="10" t="str">
        <x:v>Source register</x:v>
      </x:c>
    </x:row>
    <x:row r="14" ht="15" hidden="0" customHeight="1">
      <x:c r="A14" s="22" t="str">
        <x:v>Item</x:v>
      </x:c>
      <x:c r="B14" s="22" t="str">
        <x:v>Value / Description</x:v>
      </x:c>
      <x:c r="C14" s="22" t="str">
        <x:v>Units</x:v>
      </x:c>
      <x:c r="D14" s="22" t="str">
        <x:v>Period / As-of</x:v>
      </x:c>
      <x:c r="E14" s="22" t="str">
        <x:v>Source Type</x:v>
      </x:c>
      <x:c r="F14" s="22" t="str">
        <x:v>Source Name</x:v>
      </x:c>
      <x:c r="G14" s="22" t="str">
        <x:v>Reference URL</x:v>
      </x:c>
      <x:c r="H14" s="22" t="str">
        <x:v>Owner</x:v>
      </x:c>
      <x:c r="I14" s="22" t="str">
        <x:v>Notes</x:v>
      </x:c>
      <x:c r="J14" s="22" t="str">
        <x:v>Accessed / Refreshed</x:v>
      </x:c>
    </x:row>
    <x:row r="15" ht="26.399999618530273" hidden="0" customHeight="1">
      <x:c r="A15" s="27" t="str">
        <x:v>Governance framework</x:v>
      </x:c>
      <x:c r="B15" s="27" t="str">
        <x:v>COBIT 2019 governance and management objective reference</x:v>
      </x:c>
      <x:c r="C15" s="27" t="str">
        <x:v>Framework</x:v>
      </x:c>
      <x:c r="D15" s="27" t="str">
        <x:v>2019</x:v>
      </x:c>
      <x:c r="E15" s="27" t="str">
        <x:v>External standard</x:v>
      </x:c>
      <x:c r="F15" s="27" t="str">
        <x:v>ISACA COBIT resource center</x:v>
      </x:c>
      <x:c r="G15" s="27" t="str">
        <x:v>https://www.isaca.org/resources/cobit</x:v>
      </x:c>
      <x:c r="H15" s="27" t="str">
        <x:v>IT Governance</x:v>
      </x:c>
      <x:c r="I15" s="27" t="str">
        <x:v>APO06 is used here as the financial governance design anchor.</x:v>
      </x:c>
      <x:c r="J15" s="39" t="n">
        <x:v>46266</x:v>
      </x:c>
    </x:row>
    <x:row r="16" ht="39.599998474121094" hidden="0" customHeight="1">
      <x:c r="A16" s="27" t="str">
        <x:v>APO06 context</x:v>
      </x:c>
      <x:c r="B16" s="27" t="str">
        <x:v>Managed Budget and Costs; target capability selection must be tailored to enterprise design factors</x:v>
      </x:c>
      <x:c r="C16" s="27" t="str">
        <x:v>Framework reference</x:v>
      </x:c>
      <x:c r="D16" s="27" t="str">
        <x:v>2019</x:v>
      </x:c>
      <x:c r="E16" s="27" t="str">
        <x:v>External standard</x:v>
      </x:c>
      <x:c r="F16" s="27" t="str">
        <x:v>ISACA industry article</x:v>
      </x:c>
      <x:c r="G16" s="27" t="str">
        <x:v>https://www.isaca.org/resources/news-and-trends/industry-news/2019/defining-target-capability-levels-in-cobit-2019-a-proposal-for-refinement</x:v>
      </x:c>
      <x:c r="H16" s="27" t="str">
        <x:v>IT Governance</x:v>
      </x:c>
      <x:c r="I16" s="27" t="str">
        <x:v>Confirm organisation-specific process practices with licensed COBIT 2019 Governance and Management Objectives content.</x:v>
      </x:c>
      <x:c r="J16" s="39" t="n">
        <x:v>46266</x:v>
      </x:c>
    </x:row>
    <x:row r="17" ht="26.399999618530273" hidden="0" customHeight="1">
      <x:c r="A17" s="27" t="str">
        <x:v>Budget input</x:v>
      </x:c>
      <x:c r="B17" s="27" t="str">
        <x:v>Annual/periodic plan, actuals, commitments and forecast</x:v>
      </x:c>
      <x:c r="C17" s="27" t="str">
        <x:v>IDR</x:v>
      </x:c>
      <x:c r="D17" s="27" t="str">
        <x:v>Fiscal Year</x:v>
      </x:c>
      <x:c r="E17" s="27" t="str">
        <x:v>Internal input</x:v>
      </x:c>
      <x:c r="F17" s="27" t="str">
        <x:v>ERP / GL / procurement / portfolio systems</x:v>
      </x:c>
      <x:c r="G17" s="27" t="str"/>
      <x:c r="H17" s="27" t="str">
        <x:v>IT Finance</x:v>
      </x:c>
      <x:c r="I17" s="27" t="str">
        <x:v>Replace sample entries with approved organisation data and retain source report IDs.</x:v>
      </x:c>
      <x:c r="J17" s="39" t="n">
        <x:v>46266</x:v>
      </x:c>
    </x:row>
  </x:sheetData>
  <x:mergeCells>
    <x:mergeCell ref="A1:H1"/>
    <x:mergeCell ref="A2:P2"/>
    <x:mergeCell ref="A4:F4"/>
    <x:mergeCell ref="A13:J13"/>
  </x:mergeCells>
  <x:conditionalFormatting sqref="B6:B10">
    <x:cfRule type="containsText" dxfId="3" priority="1" operator="containsText" text="FAIL"/>
    <x:cfRule type="containsText" dxfId="4" priority="2" operator="containsText" text="REVIEW"/>
    <x:cfRule type="containsText" dxfId="5" priority="3" operator="containsText" text="PASS"/>
  </x:conditionalFormatting>
  <x:pageMargins left="0.7" right="0.7" top="0.75" bottom="0.75" header="0.3" footer="0.3"/>
</x:worksheet>
</file>