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dc5b897af47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bor" sheetId="1" r:id="Rb03fb15f043b44fb"/>
    <x:sheet xmlns:r="http://schemas.openxmlformats.org/officeDocument/2006/relationships" name="Asumsi" sheetId="2" r:id="R114db631e60a446f"/>
    <x:sheet xmlns:r="http://schemas.openxmlformats.org/officeDocument/2006/relationships" name="Input Anggaran" sheetId="3" r:id="R4786fd7024a64f3e"/>
    <x:sheet xmlns:r="http://schemas.openxmlformats.org/officeDocument/2006/relationships" name="Kontrol Anggaran" sheetId="4" r:id="R3d1e4c15bad04297"/>
    <x:sheet xmlns:r="http://schemas.openxmlformats.org/officeDocument/2006/relationships" name="Tata Kelola &amp; Persetujuan" sheetId="5" r:id="R13a554e12c1e44d1"/>
    <x:sheet xmlns:r="http://schemas.openxmlformats.org/officeDocument/2006/relationships" name="Cek &amp; Sumber" sheetId="6" r:id="Rf945b28d933c45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&quot;Rp&quot; #,##0;[Red](&quot;Rp&quot; #,##0);-"/>
    <x:numFmt numFmtId="202" formatCode="yyyy-mm-dd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9"/>
      <x:color rgb="FF5B657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1F2937"/>
      <x:name val="Carlito"/>
    </x:font>
    <x:font>
      <x:i/>
      <x:sz val="11"/>
      <x:color rgb="FF155E75"/>
      <x:name val="Carlito"/>
    </x:font>
    <x:font>
      <x:b/>
      <x:sz val="12"/>
      <x:name val="Carlito"/>
    </x:font>
    <x:font>
      <x:b/>
      <x:sz val="11"/>
      <x:color rgb="FF163A5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0F6"/>
      </x:patternFill>
    </x:fill>
    <x:fill>
      <x:patternFill patternType="solid">
        <x:fgColor rgb="FF1F5A99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  <x:fill>
      <x:patternFill patternType="solid">
        <x:fgColor rgb="FFDCEAF7"/>
      </x:patternFill>
    </x:fill>
    <x:fill>
      <x:patternFill patternType="solid">
        <x:fgColor rgb="FFDDF3EF"/>
      </x:patternFill>
    </x:fill>
    <x:fill>
      <x:patternFill patternType="solid">
        <x:fgColor rgb="FFFCE4D6"/>
      </x:patternFill>
    </x:fill>
  </x:fills>
  <x:borders count="8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medium">
        <x:color rgb="FF1F5A99"/>
      </x:left>
      <x:top style="medium">
        <x:color rgb="FF1F5A99"/>
      </x:top>
    </x:border>
    <x:border>
      <x:right style="medium">
        <x:color rgb="FF1F5A99"/>
      </x:right>
      <x:top style="medium">
        <x:color rgb="FF1F5A99"/>
      </x:top>
    </x:border>
    <x:border>
      <x:left style="medium">
        <x:color rgb="FF1F5A99"/>
      </x:left>
    </x:border>
    <x:border>
      <x:right style="medium">
        <x:color rgb="FF1F5A99"/>
      </x:right>
    </x:border>
    <x:border>
      <x:left style="medium">
        <x:color rgb="FF1F5A99"/>
      </x:left>
      <x:bottom style="medium">
        <x:color rgb="FF1F5A99"/>
      </x:bottom>
    </x:border>
    <x:border>
      <x:right style="medium">
        <x:color rgb="FF1F5A99"/>
      </x:right>
      <x:bottom style="medium">
        <x:color rgb="FF1F5A99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200" fontId="5" fillId="6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7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201" fontId="5" fillId="6" borderId="1" xfId="0" applyNumberFormat="1" applyFont="1" applyFill="1" applyBorder="1"/>
    <x:xf numFmtId="201" fontId="0" fillId="7" borderId="1" xfId="0" applyNumberFormat="1" applyFont="1" applyFill="1" applyBorder="1"/>
    <x:xf numFmtId="202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202" fontId="5" fillId="6" borderId="1" xfId="0" applyNumberFormat="1" applyFont="1" applyFill="1" applyBorder="1" applyAlignment="1">
      <x:alignment wrapText="1"/>
    </x:xf>
    <x:xf numFmtId="201" fontId="5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/>
    </x:xf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2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horizontal="center" wrapText="1"/>
    </x:xf>
    <x:xf numFmtId="0" fontId="0" fillId="7" borderId="3" xfId="0" applyNumberFormat="1" applyFont="1" applyFill="1" applyBorder="1" applyAlignment="1">
      <x:alignment horizontal="center" wrapText="1"/>
    </x:xf>
    <x:xf numFmtId="0" fontId="0" fillId="7" borderId="4" xfId="0" applyNumberFormat="1" applyFont="1" applyFill="1" applyBorder="1" applyAlignment="1">
      <x:alignment horizontal="center" wrapText="1"/>
    </x:xf>
    <x:xf numFmtId="0" fontId="0" fillId="7" borderId="5" xfId="0" applyNumberFormat="1" applyFont="1" applyFill="1" applyBorder="1" applyAlignment="1">
      <x:alignment horizontal="center" wrapText="1"/>
    </x:xf>
    <x:xf numFmtId="0" fontId="0" fillId="7" borderId="6" xfId="0" applyNumberFormat="1" applyFont="1" applyFill="1" applyBorder="1" applyAlignment="1">
      <x:alignment horizontal="center" wrapText="1"/>
    </x:xf>
    <x:xf numFmtId="0" fontId="0" fillId="7" borderId="7" xfId="0" applyNumberFormat="1" applyFont="1" applyFill="1" applyBorder="1" applyAlignment="1">
      <x:alignment horizontal="center" wrapText="1"/>
    </x:xf>
    <x:xf numFmtId="0" fontId="0" fillId="7" borderId="2" xfId="0" applyNumberFormat="1" applyFont="1" applyFill="1" applyBorder="1" applyAlignment="1">
      <x:alignment horizontal="center" vertical="center" wrapText="1"/>
    </x:xf>
    <x:xf numFmtId="0" fontId="0" fillId="7" borderId="3" xfId="0" applyNumberFormat="1" applyFont="1" applyFill="1" applyBorder="1" applyAlignment="1">
      <x:alignment horizontal="center" vertical="center" wrapText="1"/>
    </x:xf>
    <x:xf numFmtId="0" fontId="0" fillId="7" borderId="4" xfId="0" applyNumberFormat="1" applyFont="1" applyFill="1" applyBorder="1" applyAlignment="1">
      <x:alignment horizontal="center" vertical="center" wrapText="1"/>
    </x:xf>
    <x:xf numFmtId="0" fontId="0" fillId="7" borderId="5" xfId="0" applyNumberFormat="1" applyFont="1" applyFill="1" applyBorder="1" applyAlignment="1">
      <x:alignment horizontal="center" vertical="center" wrapText="1"/>
    </x:xf>
    <x:xf numFmtId="0" fontId="0" fillId="7" borderId="6" xfId="0" applyNumberFormat="1" applyFont="1" applyFill="1" applyBorder="1" applyAlignment="1">
      <x:alignment horizontal="center" vertical="center" wrapText="1"/>
    </x:xf>
    <x:xf numFmtId="0" fontId="0" fillId="7" borderId="7" xfId="0" applyNumberFormat="1" applyFont="1" applyFill="1" applyBorder="1" applyAlignment="1">
      <x:alignment horizontal="center" vertical="center" wrapText="1"/>
    </x:xf>
    <x:xf numFmtId="0" fontId="8" fillId="7" borderId="2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2" xfId="0" applyNumberFormat="1" applyFont="1" applyFill="1" applyBorder="1"/>
    <x:xf numFmtId="0" fontId="0" fillId="9" borderId="3" xfId="0" applyNumberFormat="1" applyFont="1" applyFill="1" applyBorder="1"/>
    <x:xf numFmtId="0" fontId="0" fillId="9" borderId="4" xfId="0" applyNumberFormat="1" applyFont="1" applyFill="1" applyBorder="1"/>
    <x:xf numFmtId="0" fontId="0" fillId="9" borderId="5" xfId="0" applyNumberFormat="1" applyFont="1" applyFill="1" applyBorder="1"/>
    <x:xf numFmtId="0" fontId="0" fillId="9" borderId="6" xfId="0" applyNumberFormat="1" applyFont="1" applyFill="1" applyBorder="1"/>
    <x:xf numFmtId="0" fontId="0" fillId="9" borderId="7" xfId="0" applyNumberFormat="1" applyFont="1" applyFill="1" applyBorder="1"/>
    <x:xf numFmtId="0" fontId="0" fillId="9" borderId="2" xfId="0" applyNumberFormat="1" applyFont="1" applyFill="1" applyBorder="1" applyAlignment="1">
      <x:alignment wrapText="1"/>
    </x:xf>
    <x:xf numFmtId="0" fontId="0" fillId="9" borderId="3" xfId="0" applyNumberFormat="1" applyFont="1" applyFill="1" applyBorder="1" applyAlignment="1">
      <x:alignment wrapText="1"/>
    </x:xf>
    <x:xf numFmtId="0" fontId="0" fillId="9" borderId="4" xfId="0" applyNumberFormat="1" applyFont="1" applyFill="1" applyBorder="1" applyAlignment="1">
      <x:alignment wrapText="1"/>
    </x:xf>
    <x:xf numFmtId="0" fontId="0" fillId="9" borderId="5" xfId="0" applyNumberFormat="1" applyFont="1" applyFill="1" applyBorder="1" applyAlignment="1">
      <x:alignment wrapText="1"/>
    </x:xf>
    <x:xf numFmtId="0" fontId="0" fillId="9" borderId="6" xfId="0" applyNumberFormat="1" applyFont="1" applyFill="1" applyBorder="1" applyAlignment="1">
      <x:alignment wrapText="1"/>
    </x:xf>
    <x:xf numFmtId="0" fontId="0" fillId="9" borderId="7" xfId="0" applyNumberFormat="1" applyFont="1" applyFill="1" applyBorder="1" applyAlignment="1">
      <x:alignment wrapText="1"/>
    </x:xf>
    <x:xf numFmtId="0" fontId="0" fillId="9" borderId="2" xfId="0" applyNumberFormat="1" applyFont="1" applyFill="1" applyBorder="1" applyAlignment="1">
      <x:alignment horizontal="center" wrapText="1"/>
    </x:xf>
    <x:xf numFmtId="0" fontId="0" fillId="9" borderId="3" xfId="0" applyNumberFormat="1" applyFont="1" applyFill="1" applyBorder="1" applyAlignment="1">
      <x:alignment horizontal="center" wrapText="1"/>
    </x:xf>
    <x:xf numFmtId="0" fontId="0" fillId="9" borderId="4" xfId="0" applyNumberFormat="1" applyFont="1" applyFill="1" applyBorder="1" applyAlignment="1">
      <x:alignment horizontal="center" wrapText="1"/>
    </x:xf>
    <x:xf numFmtId="0" fontId="0" fillId="9" borderId="5" xfId="0" applyNumberFormat="1" applyFont="1" applyFill="1" applyBorder="1" applyAlignment="1">
      <x:alignment horizontal="center" wrapText="1"/>
    </x:xf>
    <x:xf numFmtId="0" fontId="0" fillId="9" borderId="6" xfId="0" applyNumberFormat="1" applyFont="1" applyFill="1" applyBorder="1" applyAlignment="1">
      <x:alignment horizontal="center" wrapText="1"/>
    </x:xf>
    <x:xf numFmtId="0" fontId="0" fillId="9" borderId="7" xfId="0" applyNumberFormat="1" applyFont="1" applyFill="1" applyBorder="1" applyAlignment="1">
      <x:alignment horizontal="center" wrapText="1"/>
    </x:xf>
    <x:xf numFmtId="0" fontId="0" fillId="9" borderId="2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horizontal="center" vertical="center" wrapText="1"/>
    </x:xf>
    <x:xf numFmtId="0" fontId="0" fillId="9" borderId="4" xfId="0" applyNumberFormat="1" applyFont="1" applyFill="1" applyBorder="1" applyAlignment="1">
      <x:alignment horizontal="center" vertical="center" wrapText="1"/>
    </x:xf>
    <x:xf numFmtId="0" fontId="0" fillId="9" borderId="5" xfId="0" applyNumberFormat="1" applyFont="1" applyFill="1" applyBorder="1" applyAlignment="1">
      <x:alignment horizontal="center" vertical="center" wrapText="1"/>
    </x:xf>
    <x:xf numFmtId="0" fontId="0" fillId="9" borderId="6" xfId="0" applyNumberFormat="1" applyFont="1" applyFill="1" applyBorder="1" applyAlignment="1">
      <x:alignment horizontal="center" vertical="center" wrapText="1"/>
    </x:xf>
    <x:xf numFmtId="0" fontId="0" fillId="9" borderId="7" xfId="0" applyNumberFormat="1" applyFont="1" applyFill="1" applyBorder="1" applyAlignment="1">
      <x:alignment horizontal="center" vertical="center" wrapText="1"/>
    </x:xf>
    <x:xf numFmtId="0" fontId="8" fillId="9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horizontal="center" wrapText="1"/>
    </x:xf>
    <x:xf numFmtId="0" fontId="0" fillId="6" borderId="3" xfId="0" applyNumberFormat="1" applyFont="1" applyFill="1" applyBorder="1" applyAlignment="1">
      <x:alignment horizontal="center" wrapText="1"/>
    </x:xf>
    <x:xf numFmtId="0" fontId="0" fillId="6" borderId="4" xfId="0" applyNumberFormat="1" applyFont="1" applyFill="1" applyBorder="1" applyAlignment="1">
      <x:alignment horizontal="center" wrapText="1"/>
    </x:xf>
    <x:xf numFmtId="0" fontId="0" fillId="6" borderId="5" xfId="0" applyNumberFormat="1" applyFont="1" applyFill="1" applyBorder="1" applyAlignment="1">
      <x:alignment horizontal="center" wrapText="1"/>
    </x:xf>
    <x:xf numFmtId="0" fontId="0" fillId="6" borderId="6" xfId="0" applyNumberFormat="1" applyFont="1" applyFill="1" applyBorder="1" applyAlignment="1">
      <x:alignment horizontal="center" wrapText="1"/>
    </x:xf>
    <x:xf numFmtId="0" fontId="0" fillId="6" borderId="7" xfId="0" applyNumberFormat="1" applyFont="1" applyFill="1" applyBorder="1" applyAlignment="1">
      <x:alignment horizontal="center" wrapText="1"/>
    </x:xf>
    <x:xf numFmtId="0" fontId="0" fillId="6" borderId="2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horizontal="center" vertical="center" wrapText="1"/>
    </x:xf>
    <x:xf numFmtId="0" fontId="0" fillId="6" borderId="4" xfId="0" applyNumberFormat="1" applyFont="1" applyFill="1" applyBorder="1" applyAlignment="1">
      <x:alignment horizontal="center" vertical="center" wrapText="1"/>
    </x:xf>
    <x:xf numFmtId="0" fontId="0" fillId="6" borderId="5" xfId="0" applyNumberFormat="1" applyFont="1" applyFill="1" applyBorder="1" applyAlignment="1">
      <x:alignment horizontal="center" vertical="center" wrapText="1"/>
    </x:xf>
    <x:xf numFmtId="0" fontId="0" fillId="6" borderId="6" xfId="0" applyNumberFormat="1" applyFont="1" applyFill="1" applyBorder="1" applyAlignment="1">
      <x:alignment horizontal="center" vertical="center" wrapText="1"/>
    </x:xf>
    <x:xf numFmtId="0" fontId="0" fillId="6" borderId="7" xfId="0" applyNumberFormat="1" applyFont="1" applyFill="1" applyBorder="1" applyAlignment="1">
      <x:alignment horizontal="center" vertic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8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c8ec8dbe54cbc" /><Relationship Type="http://schemas.openxmlformats.org/officeDocument/2006/relationships/theme" Target="/xl/theme/theme1.xml" Id="R6df62c42c01145ed" /><Relationship Type="http://schemas.openxmlformats.org/officeDocument/2006/relationships/sharedStrings" Target="/xl/sharedStrings.xml" Id="R3ab299f1de424497" /><Relationship Type="http://schemas.openxmlformats.org/officeDocument/2006/relationships/worksheet" Target="/xl/worksheets/sheet1.xml" Id="Rb03fb15f043b44fb" /><Relationship Type="http://schemas.openxmlformats.org/officeDocument/2006/relationships/worksheet" Target="/xl/worksheets/sheet2.xml" Id="R114db631e60a446f" /><Relationship Type="http://schemas.openxmlformats.org/officeDocument/2006/relationships/worksheet" Target="/xl/worksheets/sheet3.xml" Id="R4786fd7024a64f3e" /><Relationship Type="http://schemas.openxmlformats.org/officeDocument/2006/relationships/worksheet" Target="/xl/worksheets/sheet4.xml" Id="R3d1e4c15bad04297" /><Relationship Type="http://schemas.openxmlformats.org/officeDocument/2006/relationships/worksheet" Target="/xl/worksheets/sheet5.xml" Id="R13a554e12c1e44d1" /><Relationship Type="http://schemas.openxmlformats.org/officeDocument/2006/relationships/worksheet" Target="/xl/worksheets/sheet6.xml" Id="Rf945b28d933c45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b7e0a71c124b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Rencana Budget Bulanan vs Actual (IDR)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Rencana Budget</c:v>
          </c:tx>
          <c:marker>
            <c:symbol val="none"/>
          </c:marker>
          <c:cat>
            <c:strRef>
              <c:f>'Dasbor'!$A$13:$A$24</c:f>
              <c:strCache>
                <c:ptCount val="0"/>
              </c:strCache>
            </c:strRef>
          </c:cat>
          <c:val>
            <c:numRef>
              <c:f>'Dasbor'!$B$13:$B$24</c:f>
              <c:numCache>
                <c:formatCode>"Rp" #,##0;[Red]("Rp" 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Actual</c:v>
          </c:tx>
          <c:marker>
            <c:symbol val="none"/>
          </c:marker>
          <c:cat>
            <c:strRef>
              <c:f>'Dasbor'!$A$13:$A$24</c:f>
              <c:strCache>
                <c:ptCount val="0"/>
              </c:strCache>
            </c:strRef>
          </c:cat>
          <c:val>
            <c:numRef>
              <c:f>'Dasbor'!$C$13:$C$24</c:f>
              <c:numCache>
                <c:formatCode>"Rp" #,##0;[Red]("Rp" 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b7e0a71c124bf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udgetInputTable" displayName="BudgetInputTable" ref="A6:V36" headerRowCount="1" totalsRowCount="0" totalsRowShown="0">
  <x:tableColumns count="22">
    <x:tableColumn id="1" name="Budget ID"/>
    <x:tableColumn id="2" name="Unit Bisnis"/>
    <x:tableColumn id="3" name="Cost Center"/>
    <x:tableColumn id="4" name="Layanan / Inisiatif"/>
    <x:tableColumn id="5" name="Driver COBIT"/>
    <x:tableColumn id="6" name="Jenis Belanja"/>
    <x:tableColumn id="7" name="Run / Change"/>
    <x:tableColumn id="8" name="Kategori Biaya"/>
    <x:tableColumn id="9" name="Owner Akuntabel"/>
    <x:tableColumn id="10" name="Anggaran Tahunan Disetujui"/>
    <x:tableColumn id="11" name="Jan"/>
    <x:tableColumn id="12" name="Feb"/>
    <x:tableColumn id="13" name="Mar"/>
    <x:tableColumn id="14" name="Apr"/>
    <x:tableColumn id="15" name="Mei"/>
    <x:tableColumn id="16" name="Jun"/>
    <x:tableColumn id="17" name="Jul"/>
    <x:tableColumn id="18" name="Agu"/>
    <x:tableColumn id="19" name="Sep"/>
    <x:tableColumn id="20" name="Okt"/>
    <x:tableColumn id="21" name="Nov"/>
    <x:tableColumn id="22" name="D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dgetControlTable" displayName="BudgetControlTable" ref="A6:Y36" headerRowCount="1" totalsRowCount="0" totalsRowShown="0">
  <x:tableColumns count="25">
    <x:tableColumn id="1" name="Budget ID"/>
    <x:tableColumn id="2" name="Cost Center"/>
    <x:tableColumn id="3" name="Layanan / Inisiatif"/>
    <x:tableColumn id="4" name="Jenis Belanja"/>
    <x:tableColumn id="5" name="Kategori Biaya"/>
    <x:tableColumn id="6" name="Anggaran Tahunan"/>
    <x:tableColumn id="7" name="Actual Jan"/>
    <x:tableColumn id="8" name="Actual Feb"/>
    <x:tableColumn id="9" name="Actual Mar"/>
    <x:tableColumn id="10" name="Actual Apr"/>
    <x:tableColumn id="11" name="Actual Mei"/>
    <x:tableColumn id="12" name="Actual Jun"/>
    <x:tableColumn id="13" name="Actual Jul"/>
    <x:tableColumn id="14" name="Actual Agu"/>
    <x:tableColumn id="15" name="Actual Sep"/>
    <x:tableColumn id="16" name="Actual Okt"/>
    <x:tableColumn id="17" name="Actual Nov"/>
    <x:tableColumn id="18" name="Actual Des"/>
    <x:tableColumn id="19" name="Budget YTD"/>
    <x:tableColumn id="20" name="Actual YTD"/>
    <x:tableColumn id="21" name="Forecast FY"/>
    <x:tableColumn id="22" name="Varians"/>
    <x:tableColumn id="23" name="Varians %"/>
    <x:tableColumn id="24" name="Status Kontrol"/>
    <x:tableColumn id="25" name="Aksi / Koment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b8b1010b2647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36a7778f5ec49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78d9a8f58c84f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19.200000762939453" hidden="0" customHeight="1">
      <x:c r="A1" s="4" t="str">
        <x:v>Dasbor Eksekutif Anggaran TI — APO06 Managed Budget and Costs</x:v>
      </x:c>
      <x:c r="B1" s="4" t="str">
        <x:v>Dasbor Eksekutif Anggaran TI — APO06 Managed Budget and Costs</x:v>
      </x:c>
      <x:c r="C1" s="4" t="str">
        <x:v>Dasbor Eksekutif Anggaran TI — APO06 Managed Budget and Costs</x:v>
      </x:c>
      <x:c r="D1" s="4" t="str">
        <x:v>Dasbor Eksekutif Anggaran TI — APO06 Managed Budget and Costs</x:v>
      </x:c>
      <x:c r="E1" s="4" t="str">
        <x:v>Dasbor Eksekutif Anggaran TI — APO06 Managed Budget and Costs</x:v>
      </x:c>
      <x:c r="F1" s="4" t="str">
        <x:v>Dasbor Eksekutif Anggaran TI — APO06 Managed Budget and Costs</x:v>
      </x:c>
      <x:c r="G1" s="4" t="str">
        <x:v>Dasbor Eksekutif Anggaran TI — APO06 Managed Budget and Costs</x:v>
      </x:c>
      <x:c r="H1" s="4" t="str">
        <x:v>Dasbor Eksekutif Anggaran TI — APO06 Managed Budget and Costs</x:v>
      </x:c>
      <x:c r="I1" s="4" t="str">
        <x:v>Dasbor Eksekutif Anggaran TI — APO06 Managed Budget and Costs</x:v>
      </x:c>
      <x:c r="J1" s="4" t="str">
        <x:v>Dasbor Eksekutif Anggaran TI — APO06 Managed Budget and Costs</x:v>
      </x:c>
      <x:c r="K1" s="4" t="str">
        <x:v>Dasbor Eksekutif Anggaran TI — APO06 Managed Budget and Costs</x:v>
      </x:c>
      <x:c r="L1" s="4" t="str">
        <x:v>Dasbor Eksekutif Anggaran TI — APO06 Managed Budget and Costs</x:v>
      </x:c>
      <x:c r="M1" s="4" t="str">
        <x:v>Dasbor Eksekutif Anggaran TI — APO06 Managed Budget and Costs</x:v>
      </x:c>
      <x:c r="N1" s="4" t="str">
        <x:v>Dasbor Eksekutif Anggaran TI — APO06 Managed Budget and Costs</x:v>
      </x:c>
      <x:c r="O1" s="4" t="str">
        <x:v>Dasbor Eksekutif Anggaran TI — APO06 Managed Budget and Costs</x:v>
      </x:c>
      <x:c r="P1" s="4" t="str">
        <x:v>Dasbor Eksekutif Anggaran TI — APO06 Managed Budget and Costs</x:v>
      </x:c>
    </x:row>
    <x:row r="2" ht="15" hidden="0" customHeight="1">
      <x:c r="A2" s="7" t="str">
        <x:v>Tampilan tata kelola tahunan/periodik. Ubah bulan pelaporan dan threshold di Asumsi; isi actual di Kontrol Anggaran.</x:v>
      </x:c>
      <x:c r="B2" s="7" t="str">
        <x:v>Tampilan tata kelola tahunan/periodik. Ubah bulan pelaporan dan threshold di Asumsi; isi actual di Kontrol Anggaran.</x:v>
      </x:c>
      <x:c r="C2" s="7" t="str">
        <x:v>Tampilan tata kelola tahunan/periodik. Ubah bulan pelaporan dan threshold di Asumsi; isi actual di Kontrol Anggaran.</x:v>
      </x:c>
      <x:c r="D2" s="7" t="str">
        <x:v>Tampilan tata kelola tahunan/periodik. Ubah bulan pelaporan dan threshold di Asumsi; isi actual di Kontrol Anggaran.</x:v>
      </x:c>
      <x:c r="E2" s="7" t="str">
        <x:v>Tampilan tata kelola tahunan/periodik. Ubah bulan pelaporan dan threshold di Asumsi; isi actual di Kontrol Anggaran.</x:v>
      </x:c>
      <x:c r="F2" s="7" t="str">
        <x:v>Tampilan tata kelola tahunan/periodik. Ubah bulan pelaporan dan threshold di Asumsi; isi actual di Kontrol Anggaran.</x:v>
      </x:c>
      <x:c r="G2" s="7" t="str">
        <x:v>Tampilan tata kelola tahunan/periodik. Ubah bulan pelaporan dan threshold di Asumsi; isi actual di Kontrol Anggaran.</x:v>
      </x:c>
      <x:c r="H2" s="7" t="str">
        <x:v>Tampilan tata kelola tahunan/periodik. Ubah bulan pelaporan dan threshold di Asumsi; isi actual di Kontrol Anggaran.</x:v>
      </x:c>
      <x:c r="I2" s="7" t="str">
        <x:v>Tampilan tata kelola tahunan/periodik. Ubah bulan pelaporan dan threshold di Asumsi; isi actual di Kontrol Anggaran.</x:v>
      </x:c>
      <x:c r="J2" s="7" t="str">
        <x:v>Tampilan tata kelola tahunan/periodik. Ubah bulan pelaporan dan threshold di Asumsi; isi actual di Kontrol Anggaran.</x:v>
      </x:c>
      <x:c r="K2" s="7" t="str">
        <x:v>Tampilan tata kelola tahunan/periodik. Ubah bulan pelaporan dan threshold di Asumsi; isi actual di Kontrol Anggaran.</x:v>
      </x:c>
      <x:c r="L2" s="7" t="str">
        <x:v>Tampilan tata kelola tahunan/periodik. Ubah bulan pelaporan dan threshold di Asumsi; isi actual di Kontrol Anggaran.</x:v>
      </x:c>
      <x:c r="M2" s="7" t="str">
        <x:v>Tampilan tata kelola tahunan/periodik. Ubah bulan pelaporan dan threshold di Asumsi; isi actual di Kontrol Anggaran.</x:v>
      </x:c>
      <x:c r="N2" s="7" t="str">
        <x:v>Tampilan tata kelola tahunan/periodik. Ubah bulan pelaporan dan threshold di Asumsi; isi actual di Kontrol Anggaran.</x:v>
      </x:c>
      <x:c r="O2" s="7" t="str">
        <x:v>Tampilan tata kelola tahunan/periodik. Ubah bulan pelaporan dan threshold di Asumsi; isi actual di Kontrol Anggaran.</x:v>
      </x:c>
      <x:c r="P2" s="7" t="str">
        <x:v>Tampilan tata kelola tahunan/periodik. Ubah bulan pelaporan dan threshold di Asumsi; isi actual di Kontrol Anggaran.</x:v>
      </x:c>
    </x:row>
    <x:row r="3"/>
    <x:row r="4" ht="15" hidden="0" customHeight="1">
      <x:c r="A4" s="40" t="str">
        <x:v>Tahun Fiskal</x:v>
      </x:c>
      <x:c r="B4" s="40" t="str">
        <x:v>Tahun Fiskal</x:v>
      </x:c>
      <x:c r="C4" s="42" t="n">
        <x:f>'Asumsi'!$B$5</x:f>
        <x:v>2027</x:v>
      </x:c>
      <x:c r="D4" s="42"/>
      <x:c r="E4" s="40" t="str">
        <x:v>Bulan Pelaporan</x:v>
      </x:c>
      <x:c r="F4" s="40" t="str">
        <x:v>Bulan Pelaporan</x:v>
      </x:c>
      <x:c r="G4" s="42" t="str">
        <x:f>CHOOSE('Asumsi'!$B$6,"Jan","Feb","Mar","Apr","Mei","Jun","Jul","Agu","Sep","Okt","Nov","Des")</x:f>
        <x:v>Jan</x:v>
      </x:c>
      <x:c r="H4" s="42"/>
      <x:c r="I4" s="40" t="str">
        <x:v>Status Model</x:v>
      </x:c>
      <x:c r="J4" s="40" t="str">
        <x:v>Status Model</x:v>
      </x:c>
      <x:c r="K4" s="41" t="str">
        <x:f>'Cek &amp; Sumber'!$B$10</x:f>
        <x:v>LULUS</x:v>
      </x:c>
      <x:c r="L4" s="41"/>
    </x:row>
    <x:row r="5"/>
    <x:row r="6">
      <x:c r="A6" s="67" t="str">
        <x:f>"Anggaran Tahunan Disetujui"&amp;CHAR(10)&amp;TEXT(SUM('Kontrol Anggaran'!$F$7:$F$36),"#,##0")</x:f>
        <x:v>Anggaran Tahunan Disetujui
5,030,000,000</x:v>
      </x:c>
      <x:c r="B6" s="62"/>
      <x:c r="D6" s="67" t="str">
        <x:f>"Budget YTD"&amp;CHAR(10)&amp;TEXT(SUM('Kontrol Anggaran'!$S$7:$S$36),"#,##0")</x:f>
        <x:v>Budget YTD
352,100,000</x:v>
      </x:c>
      <x:c r="E6" s="62"/>
      <x:c r="G6" s="67" t="str">
        <x:f>"Actual YTD"&amp;CHAR(10)&amp;TEXT(SUM('Kontrol Anggaran'!$T$7:$T$36),"#,##0")</x:f>
        <x:v>Actual YTD
0</x:v>
      </x:c>
      <x:c r="H6" s="62"/>
      <x:c r="J6" s="67" t="str">
        <x:f>"Forecast FY"&amp;CHAR(10)&amp;TEXT(SUM('Kontrol Anggaran'!$U$7:$U$36),"#,##0")</x:f>
        <x:v>Forecast FY
4,677,900,000</x:v>
      </x:c>
      <x:c r="K6" s="62"/>
      <x:c r="M6" s="93" t="str">
        <x:f>"Varians Forecast"&amp;CHAR(10)&amp;TEXT(SUM('Kontrol Anggaran'!$V$7:$V$36),"#,##0")</x:f>
        <x:v>Varians Forecast
-352,100,000</x:v>
      </x:c>
      <x:c r="N6" s="88"/>
      <x:c r="P6" s="118" t="str">
        <x:f>"Eskalasi"&amp;CHAR(10)&amp;TEXT(COUNTIF('Kontrol Anggaran'!$X$7:$X$36,"ESKALASI"),"#,##0")</x:f>
        <x:v>Eskalasi
0</x:v>
      </x:c>
      <x:c r="Q6" s="113"/>
    </x:row>
    <x:row r="7">
      <x:c r="A7" s="63"/>
      <x:c r="B7" s="64"/>
      <x:c r="D7" s="63"/>
      <x:c r="E7" s="64"/>
      <x:c r="G7" s="63"/>
      <x:c r="H7" s="64"/>
      <x:c r="J7" s="63"/>
      <x:c r="K7" s="64"/>
      <x:c r="M7" s="89"/>
      <x:c r="N7" s="90"/>
      <x:c r="P7" s="114"/>
      <x:c r="Q7" s="115"/>
    </x:row>
    <x:row r="8">
      <x:c r="A8" s="65"/>
      <x:c r="B8" s="66"/>
      <x:c r="D8" s="65"/>
      <x:c r="E8" s="66"/>
      <x:c r="G8" s="65"/>
      <x:c r="H8" s="66"/>
      <x:c r="J8" s="65"/>
      <x:c r="K8" s="66"/>
      <x:c r="M8" s="91"/>
      <x:c r="N8" s="92"/>
      <x:c r="P8" s="116"/>
      <x:c r="Q8" s="117"/>
    </x:row>
    <x:row r="9"/>
    <x:row r="10"/>
    <x:row r="11"/>
    <x:row r="12" ht="15" hidden="0" customHeight="1">
      <x:c r="A12" s="22" t="str">
        <x:v>Bulan</x:v>
      </x:c>
      <x:c r="B12" s="22" t="str">
        <x:v>Rencana Budget</x:v>
      </x:c>
      <x:c r="C12" s="22" t="str">
        <x:v>Actual</x:v>
      </x:c>
      <x:c r="D12" s="22" t="str">
        <x:v>Varians</x:v>
      </x:c>
    </x:row>
    <x:row r="13" ht="15" hidden="0" customHeight="1">
      <x:c r="A13" s="26" t="str">
        <x:v>Jan</x:v>
      </x:c>
      <x:c r="B13" s="120" t="n">
        <x:f>SUM('Input Anggaran'!$K$7:$K$36)</x:f>
        <x:v>352100000</x:v>
      </x:c>
      <x:c r="C13" s="120" t="n">
        <x:f>SUM('Kontrol Anggaran'!$G$7:$G$36)</x:f>
        <x:v>0</x:v>
      </x:c>
      <x:c r="D13" s="120" t="n">
        <x:f>C13-B13</x:f>
        <x:v>-352100000</x:v>
      </x:c>
    </x:row>
    <x:row r="14" ht="15" hidden="0" customHeight="1">
      <x:c r="A14" s="26" t="str">
        <x:v>Feb</x:v>
      </x:c>
      <x:c r="B14" s="120" t="n">
        <x:f>SUM('Input Anggaran'!$L$7:$L$36)</x:f>
        <x:v>352100000</x:v>
      </x:c>
      <x:c r="C14" s="120" t="n">
        <x:f>SUM('Kontrol Anggaran'!$H$7:$H$36)</x:f>
        <x:v>0</x:v>
      </x:c>
      <x:c r="D14" s="120" t="n">
        <x:f>C14-B14</x:f>
        <x:v>-352100000</x:v>
      </x:c>
    </x:row>
    <x:row r="15" ht="15" hidden="0" customHeight="1">
      <x:c r="A15" s="26" t="str">
        <x:v>Mar</x:v>
      </x:c>
      <x:c r="B15" s="120" t="n">
        <x:f>SUM('Input Anggaran'!$M$7:$M$36)</x:f>
        <x:v>402400000</x:v>
      </x:c>
      <x:c r="C15" s="120" t="n">
        <x:f>SUM('Kontrol Anggaran'!$I$7:$I$36)</x:f>
        <x:v>0</x:v>
      </x:c>
      <x:c r="D15" s="120" t="n">
        <x:f>C15-B15</x:f>
        <x:v>-402400000</x:v>
      </x:c>
    </x:row>
    <x:row r="16" ht="15" hidden="0" customHeight="1">
      <x:c r="A16" s="26" t="str">
        <x:v>Apr</x:v>
      </x:c>
      <x:c r="B16" s="120" t="n">
        <x:f>SUM('Input Anggaran'!$N$7:$N$36)</x:f>
        <x:v>402400000</x:v>
      </x:c>
      <x:c r="C16" s="120" t="n">
        <x:f>SUM('Kontrol Anggaran'!$J$7:$J$36)</x:f>
        <x:v>0</x:v>
      </x:c>
      <x:c r="D16" s="120" t="n">
        <x:f>C16-B16</x:f>
        <x:v>-402400000</x:v>
      </x:c>
    </x:row>
    <x:row r="17" ht="15" hidden="0" customHeight="1">
      <x:c r="A17" s="26" t="str">
        <x:v>Mei</x:v>
      </x:c>
      <x:c r="B17" s="120" t="n">
        <x:f>SUM('Input Anggaran'!$O$7:$O$36)</x:f>
        <x:v>402400000</x:v>
      </x:c>
      <x:c r="C17" s="120" t="n">
        <x:f>SUM('Kontrol Anggaran'!$K$7:$K$36)</x:f>
        <x:v>0</x:v>
      </x:c>
      <x:c r="D17" s="120" t="n">
        <x:f>C17-B17</x:f>
        <x:v>-402400000</x:v>
      </x:c>
    </x:row>
    <x:row r="18" ht="15" hidden="0" customHeight="1">
      <x:c r="A18" s="26" t="str">
        <x:v>Jun</x:v>
      </x:c>
      <x:c r="B18" s="120" t="n">
        <x:f>SUM('Input Anggaran'!$P$7:$P$36)</x:f>
        <x:v>402400000</x:v>
      </x:c>
      <x:c r="C18" s="120" t="n">
        <x:f>SUM('Kontrol Anggaran'!$L$7:$L$36)</x:f>
        <x:v>0</x:v>
      </x:c>
      <x:c r="D18" s="120" t="n">
        <x:f>C18-B18</x:f>
        <x:v>-402400000</x:v>
      </x:c>
    </x:row>
    <x:row r="19" ht="15" hidden="0" customHeight="1">
      <x:c r="A19" s="26" t="str">
        <x:v>Jul</x:v>
      </x:c>
      <x:c r="B19" s="120" t="n">
        <x:f>SUM('Input Anggaran'!$Q$7:$Q$36)</x:f>
        <x:v>452700000</x:v>
      </x:c>
      <x:c r="C19" s="120" t="n">
        <x:f>SUM('Kontrol Anggaran'!$M$7:$M$36)</x:f>
        <x:v>0</x:v>
      </x:c>
      <x:c r="D19" s="120" t="n">
        <x:f>C19-B19</x:f>
        <x:v>-452700000</x:v>
      </x:c>
    </x:row>
    <x:row r="20" ht="15" hidden="0" customHeight="1">
      <x:c r="A20" s="26" t="str">
        <x:v>Agu</x:v>
      </x:c>
      <x:c r="B20" s="120" t="n">
        <x:f>SUM('Input Anggaran'!$R$7:$R$36)</x:f>
        <x:v>452700000</x:v>
      </x:c>
      <x:c r="C20" s="120" t="n">
        <x:f>SUM('Kontrol Anggaran'!$N$7:$N$36)</x:f>
        <x:v>0</x:v>
      </x:c>
      <x:c r="D20" s="120" t="n">
        <x:f>C20-B20</x:f>
        <x:v>-452700000</x:v>
      </x:c>
    </x:row>
    <x:row r="21" ht="15" hidden="0" customHeight="1">
      <x:c r="A21" s="26" t="str">
        <x:v>Sep</x:v>
      </x:c>
      <x:c r="B21" s="120" t="n">
        <x:f>SUM('Input Anggaran'!$S$7:$S$36)</x:f>
        <x:v>402400000</x:v>
      </x:c>
      <x:c r="C21" s="120" t="n">
        <x:f>SUM('Kontrol Anggaran'!$O$7:$O$36)</x:f>
        <x:v>0</x:v>
      </x:c>
      <x:c r="D21" s="120" t="n">
        <x:f>C21-B21</x:f>
        <x:v>-402400000</x:v>
      </x:c>
    </x:row>
    <x:row r="22" ht="15" hidden="0" customHeight="1">
      <x:c r="A22" s="26" t="str">
        <x:v>Okt</x:v>
      </x:c>
      <x:c r="B22" s="120" t="n">
        <x:f>SUM('Input Anggaran'!$T$7:$T$36)</x:f>
        <x:v>452700000</x:v>
      </x:c>
      <x:c r="C22" s="120" t="n">
        <x:f>SUM('Kontrol Anggaran'!$P$7:$P$36)</x:f>
        <x:v>0</x:v>
      </x:c>
      <x:c r="D22" s="120" t="n">
        <x:f>C22-B22</x:f>
        <x:v>-452700000</x:v>
      </x:c>
    </x:row>
    <x:row r="23" ht="15" hidden="0" customHeight="1">
      <x:c r="A23" s="26" t="str">
        <x:v>Nov</x:v>
      </x:c>
      <x:c r="B23" s="120" t="n">
        <x:f>SUM('Input Anggaran'!$U$7:$U$36)</x:f>
        <x:v>452700000</x:v>
      </x:c>
      <x:c r="C23" s="120" t="n">
        <x:f>SUM('Kontrol Anggaran'!$Q$7:$Q$36)</x:f>
        <x:v>0</x:v>
      </x:c>
      <x:c r="D23" s="120" t="n">
        <x:f>C23-B23</x:f>
        <x:v>-452700000</x:v>
      </x:c>
    </x:row>
    <x:row r="24" ht="15" hidden="0" customHeight="1">
      <x:c r="A24" s="26" t="str">
        <x:v>Des</x:v>
      </x:c>
      <x:c r="B24" s="120" t="n">
        <x:f>SUM('Input Anggaran'!$V$7:$V$36)</x:f>
        <x:v>503000000</x:v>
      </x:c>
      <x:c r="C24" s="120" t="n">
        <x:f>SUM('Kontrol Anggaran'!$R$7:$R$36)</x:f>
        <x:v>0</x:v>
      </x:c>
      <x:c r="D24" s="120" t="n">
        <x:f>C24-B24</x:f>
        <x:v>-503000000</x:v>
      </x:c>
    </x:row>
    <x:row r="25"/>
    <x:row r="26"/>
    <x:row r="27" ht="15" hidden="0" customHeight="1">
      <x:c r="A27" s="10" t="str">
        <x:v>Pos anggaran yang membutuhkan tindakan manajemen</x:v>
      </x:c>
      <x:c r="B27" s="10" t="str">
        <x:v>Pos anggaran yang membutuhkan tindakan manajemen</x:v>
      </x:c>
      <x:c r="C27" s="10" t="str">
        <x:v>Pos anggaran yang membutuhkan tindakan manajemen</x:v>
      </x:c>
      <x:c r="D27" s="10" t="str">
        <x:v>Pos anggaran yang membutuhkan tindakan manajemen</x:v>
      </x:c>
      <x:c r="E27" s="10" t="str">
        <x:v>Pos anggaran yang membutuhkan tindakan manajemen</x:v>
      </x:c>
      <x:c r="F27" s="10" t="str">
        <x:v>Pos anggaran yang membutuhkan tindakan manajemen</x:v>
      </x:c>
      <x:c r="G27" s="10" t="str">
        <x:v>Pos anggaran yang membutuhkan tindakan manajemen</x:v>
      </x:c>
      <x:c r="H27" s="10" t="str">
        <x:v>Pos anggaran yang membutuhkan tindakan manajemen</x:v>
      </x:c>
      <x:c r="I27" s="10" t="str">
        <x:v>Pos anggaran yang membutuhkan tindakan manajemen</x:v>
      </x:c>
      <x:c r="J27" s="10" t="str">
        <x:v>Pos anggaran yang membutuhkan tindakan manajemen</x:v>
      </x:c>
      <x:c r="K27" s="10" t="str">
        <x:v>Pos anggaran yang membutuhkan tindakan manajemen</x:v>
      </x:c>
      <x:c r="L27" s="10" t="str">
        <x:v>Pos anggaran yang membutuhkan tindakan manajemen</x:v>
      </x:c>
      <x:c r="M27" s="10" t="str">
        <x:v>Pos anggaran yang membutuhkan tindakan manajemen</x:v>
      </x:c>
      <x:c r="N27" s="10" t="str">
        <x:v>Pos anggaran yang membutuhkan tindakan manajemen</x:v>
      </x:c>
      <x:c r="O27" s="10" t="str">
        <x:v>Pos anggaran yang membutuhkan tindakan manajemen</x:v>
      </x:c>
      <x:c r="P27" s="10" t="str">
        <x:v>Pos anggaran yang membutuhkan tindakan manajemen</x:v>
      </x:c>
    </x:row>
    <x:row r="28" ht="15" hidden="0" customHeight="1">
      <x:c r="A28" s="22" t="str">
        <x:v>Budget ID</x:v>
      </x:c>
      <x:c r="B28" s="22" t="str">
        <x:v>Inisiatif</x:v>
      </x:c>
      <x:c r="C28" s="22" t="str">
        <x:v>Forecast FY</x:v>
      </x:c>
      <x:c r="D28" s="22" t="str">
        <x:v>Varians</x:v>
      </x:c>
      <x:c r="E28" s="22" t="str">
        <x:v>Varians %</x:v>
      </x:c>
      <x:c r="F28" s="22" t="str">
        <x:v>Status Kontrol</x:v>
      </x:c>
    </x:row>
    <x:row r="29" ht="15" hidden="0" customHeight="1">
      <x:c r="A29" s="26" t="str">
        <x:f>'Kontrol Anggaran'!A7</x:f>
        <x:v>IT-001</x:v>
      </x:c>
      <x:c r="B29" s="26" t="str">
        <x:f>'Kontrol Anggaran'!C7</x:f>
        <x:v>Infrastruktur Cloud</x:v>
      </x:c>
      <x:c r="C29" s="120" t="n">
        <x:f>'Kontrol Anggaran'!U7</x:f>
        <x:v>1116000000</x:v>
      </x:c>
      <x:c r="D29" s="120" t="n">
        <x:f>'Kontrol Anggaran'!V7</x:f>
        <x:v>-84000000</x:v>
      </x:c>
      <x:c r="E29" s="122" t="n">
        <x:f>'Kontrol Anggaran'!W7</x:f>
        <x:v>-0.07</x:v>
      </x:c>
      <x:c r="F29" s="26" t="str">
        <x:f>'Kontrol Anggaran'!X7</x:f>
        <x:v>TINJAU</x:v>
      </x:c>
    </x:row>
    <x:row r="30" ht="15" hidden="0" customHeight="1">
      <x:c r="A30" s="26" t="str">
        <x:f>'Kontrol Anggaran'!A8</x:f>
        <x:v>IT-002</x:v>
      </x:c>
      <x:c r="B30" s="26" t="str">
        <x:f>'Kontrol Anggaran'!C8</x:f>
        <x:v>Program Cybersecurity</x:v>
      </x:c>
      <x:c r="C30" s="120" t="n">
        <x:f>'Kontrol Anggaran'!U8</x:f>
        <x:v>604500000</x:v>
      </x:c>
      <x:c r="D30" s="120" t="n">
        <x:f>'Kontrol Anggaran'!V8</x:f>
        <x:v>-45500000</x:v>
      </x:c>
      <x:c r="E30" s="122" t="n">
        <x:f>'Kontrol Anggaran'!W8</x:f>
        <x:v>-0.07</x:v>
      </x:c>
      <x:c r="F30" s="26" t="str">
        <x:f>'Kontrol Anggaran'!X8</x:f>
        <x:v>TINJAU</x:v>
      </x:c>
    </x:row>
    <x:row r="31" ht="15" hidden="0" customHeight="1">
      <x:c r="A31" s="26" t="str">
        <x:f>'Kontrol Anggaran'!A9</x:f>
        <x:v>IT-003</x:v>
      </x:c>
      <x:c r="B31" s="26" t="str">
        <x:f>'Kontrol Anggaran'!C9</x:f>
        <x:v>Modernisasi ERP</x:v>
      </x:c>
      <x:c r="C31" s="120" t="n">
        <x:f>'Kontrol Anggaran'!U9</x:f>
        <x:v>1674000000</x:v>
      </x:c>
      <x:c r="D31" s="120" t="n">
        <x:f>'Kontrol Anggaran'!V9</x:f>
        <x:v>-126000000</x:v>
      </x:c>
      <x:c r="E31" s="122" t="n">
        <x:f>'Kontrol Anggaran'!W9</x:f>
        <x:v>-0.07</x:v>
      </x:c>
      <x:c r="F31" s="26" t="str">
        <x:f>'Kontrol Anggaran'!X9</x:f>
        <x:v>TINJAU</x:v>
      </x:c>
    </x:row>
    <x:row r="32" ht="15" hidden="0" customHeight="1">
      <x:c r="A32" s="26" t="str">
        <x:f>'Kontrol Anggaran'!A10</x:f>
        <x:v>IT-004</x:v>
      </x:c>
      <x:c r="B32" s="26" t="str">
        <x:f>'Kontrol Anggaran'!C10</x:f>
        <x:v>Layanan End User</x:v>
      </x:c>
      <x:c r="C32" s="120" t="n">
        <x:f>'Kontrol Anggaran'!U10</x:f>
        <x:v>446400000</x:v>
      </x:c>
      <x:c r="D32" s="120" t="n">
        <x:f>'Kontrol Anggaran'!V10</x:f>
        <x:v>-33600000</x:v>
      </x:c>
      <x:c r="E32" s="122" t="n">
        <x:f>'Kontrol Anggaran'!W10</x:f>
        <x:v>-0.07</x:v>
      </x:c>
      <x:c r="F32" s="26" t="str">
        <x:f>'Kontrol Anggaran'!X10</x:f>
        <x:v>TINJAU</x:v>
      </x:c>
    </x:row>
    <x:row r="33" ht="15" hidden="0" customHeight="1">
      <x:c r="A33" s="26" t="str">
        <x:f>'Kontrol Anggaran'!A11</x:f>
        <x:v>IT-005</x:v>
      </x:c>
      <x:c r="B33" s="26" t="str">
        <x:f>'Kontrol Anggaran'!C11</x:f>
        <x:v>Data &amp; Analitik</x:v>
      </x:c>
      <x:c r="C33" s="120" t="n">
        <x:f>'Kontrol Anggaran'!U11</x:f>
        <x:v>837000000</x:v>
      </x:c>
      <x:c r="D33" s="120" t="n">
        <x:f>'Kontrol Anggaran'!V11</x:f>
        <x:v>-63000000</x:v>
      </x:c>
      <x:c r="E33" s="122" t="n">
        <x:f>'Kontrol Anggaran'!W11</x:f>
        <x:v>-0.07</x:v>
      </x:c>
      <x:c r="F33" s="26" t="str">
        <x:f>'Kontrol Anggaran'!X11</x:f>
        <x:v>TINJAU</x:v>
      </x:c>
    </x:row>
  </x:sheetData>
  <x:mergeCells>
    <x:mergeCell ref="A1:P1"/>
    <x:mergeCell ref="A2:P2"/>
    <x:mergeCell ref="A4:B4"/>
    <x:mergeCell ref="C4:D4"/>
    <x:mergeCell ref="E4:F4"/>
    <x:mergeCell ref="G4:H4"/>
    <x:mergeCell ref="I4:J4"/>
    <x:mergeCell ref="K4:L4"/>
    <x:mergeCell ref="A6:B8"/>
    <x:mergeCell ref="D6:E8"/>
    <x:mergeCell ref="G6:H8"/>
    <x:mergeCell ref="J6:K8"/>
    <x:mergeCell ref="M6:N8"/>
    <x:mergeCell ref="P6:Q8"/>
    <x:mergeCell ref="A27:P27"/>
  </x:mergeCells>
  <x:conditionalFormatting sqref="F29:F33">
    <x:cfRule type="containsText" dxfId="6" priority="1" operator="containsText" text="ESKALASI"/>
    <x:cfRule type="containsText" dxfId="7" priority="2" operator="containsText" text="TINJAU"/>
  </x:conditionalFormatting>
  <x:pageMargins left="0.7" right="0.7" top="0.75" bottom="0.75" header="0.3" footer="0.3"/>
  <x:drawing xmlns:r="http://schemas.openxmlformats.org/officeDocument/2006/relationships" r:id="R26b8b1010b26471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</x:cols>
  <x:sheetData>
    <x:row r="1" ht="19.200000762939453" hidden="0" customHeight="1">
      <x:c r="A1" s="4" t="str">
        <x:v>Anggaran TI — Parameter &amp; Asumsi</x:v>
      </x:c>
      <x:c r="B1" s="4" t="str">
        <x:v>Anggaran TI — Parameter &amp; Asumsi</x:v>
      </x:c>
      <x:c r="C1" s="4" t="str">
        <x:v>Anggaran TI — Parameter &amp; Asumsi</x:v>
      </x:c>
      <x:c r="D1" s="4" t="str">
        <x:v>Anggaran TI — Parameter &amp; Asumsi</x:v>
      </x:c>
      <x:c r="E1" s="4" t="str">
        <x:v>Anggaran TI — Parameter &amp; Asumsi</x:v>
      </x:c>
      <x:c r="F1" s="4" t="str">
        <x:v>Anggaran TI — Parameter &amp; Asumsi</x:v>
      </x:c>
      <x:c r="G1" s="4" t="str">
        <x:v>Anggaran TI — Parameter &amp; Asumsi</x:v>
      </x:c>
      <x:c r="H1" s="4" t="str">
        <x:v>Anggaran TI — Parameter &amp; Asumsi</x:v>
      </x:c>
    </x:row>
    <x:row r="2" ht="15" hidden="0" customHeight="1">
      <x:c r="A2" s="7" t="str">
        <x:v>Sel kuning adalah input yang dapat diedit. Semua nilai menggunakan IDR kecuali disebutkan lain.</x:v>
      </x:c>
      <x:c r="B2" s="7" t="str">
        <x:v>Sel kuning adalah input yang dapat diedit. Semua nilai menggunakan IDR kecuali disebutkan lain.</x:v>
      </x:c>
      <x:c r="C2" s="7" t="str">
        <x:v>Sel kuning adalah input yang dapat diedit. Semua nilai menggunakan IDR kecuali disebutkan lain.</x:v>
      </x:c>
      <x:c r="D2" s="7" t="str">
        <x:v>Sel kuning adalah input yang dapat diedit. Semua nilai menggunakan IDR kecuali disebutkan lain.</x:v>
      </x:c>
      <x:c r="E2" s="7" t="str">
        <x:v>Sel kuning adalah input yang dapat diedit. Semua nilai menggunakan IDR kecuali disebutkan lain.</x:v>
      </x:c>
      <x:c r="F2" s="7" t="str">
        <x:v>Sel kuning adalah input yang dapat diedit. Semua nilai menggunakan IDR kecuali disebutkan lain.</x:v>
      </x:c>
      <x:c r="G2" s="7" t="str">
        <x:v>Sel kuning adalah input yang dapat diedit. Semua nilai menggunakan IDR kecuali disebutkan lain.</x:v>
      </x:c>
      <x:c r="H2" s="7" t="str">
        <x:v>Sel kuning adalah input yang dapat diedit. Semua nilai menggunakan IDR kecuali disebutkan lain.</x:v>
      </x:c>
      <x:c r="I2" s="7" t="str">
        <x:v>Sel kuning adalah input yang dapat diedit. Semua nilai menggunakan IDR kecuali disebutkan lain.</x:v>
      </x:c>
      <x:c r="J2" s="7" t="str">
        <x:v>Sel kuning adalah input yang dapat diedit. Semua nilai menggunakan IDR kecuali disebutkan lain.</x:v>
      </x:c>
      <x:c r="K2" s="7" t="str">
        <x:v>Sel kuning adalah input yang dapat diedit. Semua nilai menggunakan IDR kecuali disebutkan lain.</x:v>
      </x:c>
      <x:c r="L2" s="7" t="str">
        <x:v>Sel kuning adalah input yang dapat diedit. Semua nilai menggunakan IDR kecuali disebutkan lain.</x:v>
      </x:c>
      <x:c r="M2" s="7" t="str">
        <x:v>Sel kuning adalah input yang dapat diedit. Semua nilai menggunakan IDR kecuali disebutkan lain.</x:v>
      </x:c>
      <x:c r="N2" s="7" t="str">
        <x:v>Sel kuning adalah input yang dapat diedit. Semua nilai menggunakan IDR kecuali disebutkan lain.</x:v>
      </x:c>
      <x:c r="O2" s="7" t="str">
        <x:v>Sel kuning adalah input yang dapat diedit. Semua nilai menggunakan IDR kecuali disebutkan lain.</x:v>
      </x:c>
      <x:c r="P2" s="7" t="str">
        <x:v>Sel kuning adalah input yang dapat diedit. Semua nilai menggunakan IDR kecuali disebutkan lain.</x:v>
      </x:c>
    </x:row>
    <x:row r="3"/>
    <x:row r="4" ht="15" hidden="0" customHeight="1">
      <x:c r="A4" s="10" t="str">
        <x:v>Parameter tata kelola anggaran</x:v>
      </x:c>
      <x:c r="B4" s="10" t="str">
        <x:v>Parameter tata kelola anggaran</x:v>
      </x:c>
      <x:c r="C4" s="10" t="str">
        <x:v>Parameter tata kelola anggaran</x:v>
      </x:c>
      <x:c r="D4" s="10" t="str">
        <x:v>Parameter tata kelola anggaran</x:v>
      </x:c>
      <x:c r="F4" s="10" t="str">
        <x:v>Profil pembagian / alokasi bulanan</x:v>
      </x:c>
      <x:c r="G4" s="10" t="str">
        <x:v>Profil pembagian / alokasi bulanan</x:v>
      </x:c>
      <x:c r="H4" s="10" t="str">
        <x:v>Profil pembagian / alokasi bulanan</x:v>
      </x:c>
      <x:c r="I4" s="10" t="str">
        <x:v>Profil pembagian / alokasi bulanan</x:v>
      </x:c>
      <x:c r="J4" s="10" t="str">
        <x:v>Profil pembagian / alokasi bulanan</x:v>
      </x:c>
      <x:c r="K4" s="10" t="str">
        <x:v>Profil pembagian / alokasi bulanan</x:v>
      </x:c>
      <x:c r="L4" s="10" t="str">
        <x:v>Profil pembagian / alokasi bulanan</x:v>
      </x:c>
      <x:c r="M4" s="10" t="str">
        <x:v>Profil pembagian / alokasi bulanan</x:v>
      </x:c>
      <x:c r="N4" s="10" t="str">
        <x:v>Profil pembagian / alokasi bulanan</x:v>
      </x:c>
      <x:c r="O4" s="10" t="str">
        <x:v>Profil pembagian / alokasi bulanan</x:v>
      </x:c>
      <x:c r="P4" s="10" t="str">
        <x:v>Profil pembagian / alokasi bulanan</x:v>
      </x:c>
      <x:c r="Q4" s="10" t="str">
        <x:v>Profil pembagian / alokasi bulanan</x:v>
      </x:c>
    </x:row>
    <x:row r="5" ht="15" hidden="0" customHeight="1">
      <x:c r="A5" s="13" t="str">
        <x:v>Tahun Fiskal</x:v>
      </x:c>
      <x:c r="B5" s="16" t="n">
        <x:v>2027</x:v>
      </x:c>
      <x:c r="F5" s="22" t="str">
        <x:v>Jan</x:v>
      </x:c>
      <x:c r="G5" s="22" t="str">
        <x:v>Feb</x:v>
      </x:c>
      <x:c r="H5" s="22" t="str">
        <x:v>Mar</x:v>
      </x:c>
      <x:c r="I5" s="22" t="str">
        <x:v>Apr</x:v>
      </x:c>
      <x:c r="J5" s="22" t="str">
        <x:v>Mei</x:v>
      </x:c>
      <x:c r="K5" s="22" t="str">
        <x:v>Jun</x:v>
      </x:c>
      <x:c r="L5" s="22" t="str">
        <x:v>Jul</x:v>
      </x:c>
      <x:c r="M5" s="22" t="str">
        <x:v>Agu</x:v>
      </x:c>
      <x:c r="N5" s="22" t="str">
        <x:v>Sep</x:v>
      </x:c>
      <x:c r="O5" s="22" t="str">
        <x:v>Okt</x:v>
      </x:c>
      <x:c r="P5" s="22" t="str">
        <x:v>Nov</x:v>
      </x:c>
      <x:c r="Q5" s="22" t="str">
        <x:v>Des</x:v>
      </x:c>
    </x:row>
    <x:row r="6" ht="15" hidden="0" customHeight="1">
      <x:c r="A6" s="13" t="str">
        <x:v>Bulan Pelaporan (1-12)</x:v>
      </x:c>
      <x:c r="B6" s="16" t="n">
        <x:v>1</x:v>
      </x:c>
      <x:c r="F6" s="17" t="n">
        <x:v>0.07</x:v>
      </x:c>
      <x:c r="G6" s="17" t="n">
        <x:v>0.07</x:v>
      </x:c>
      <x:c r="H6" s="17" t="n">
        <x:v>0.08</x:v>
      </x:c>
      <x:c r="I6" s="17" t="n">
        <x:v>0.08</x:v>
      </x:c>
      <x:c r="J6" s="17" t="n">
        <x:v>0.08</x:v>
      </x:c>
      <x:c r="K6" s="17" t="n">
        <x:v>0.08</x:v>
      </x:c>
      <x:c r="L6" s="17" t="n">
        <x:v>0.09</x:v>
      </x:c>
      <x:c r="M6" s="17" t="n">
        <x:v>0.09</x:v>
      </x:c>
      <x:c r="N6" s="17" t="n">
        <x:v>0.08</x:v>
      </x:c>
      <x:c r="O6" s="17" t="n">
        <x:v>0.09</x:v>
      </x:c>
      <x:c r="P6" s="17" t="n">
        <x:v>0.09</x:v>
      </x:c>
      <x:c r="Q6" s="17" t="n">
        <x:v>0.1</x:v>
      </x:c>
    </x:row>
    <x:row r="7" ht="15" hidden="0" customHeight="1">
      <x:c r="A7" s="13" t="str">
        <x:v>Versi Anggaran</x:v>
      </x:c>
      <x:c r="B7" s="16" t="str">
        <x:v>Anggaran Kerja v1.0</x:v>
      </x:c>
      <x:c r="F7" s="24" t="str">
        <x:v>Kontrol phasing (harus sama dengan 100%)</x:v>
      </x:c>
      <x:c r="G7" s="24" t="str">
        <x:v>Kontrol phasing (harus sama dengan 100%)</x:v>
      </x:c>
      <x:c r="H7" s="24" t="str">
        <x:v>Kontrol phasing (harus sama dengan 100%)</x:v>
      </x:c>
      <x:c r="I7" s="24" t="str">
        <x:v>Kontrol phasing (harus sama dengan 100%)</x:v>
      </x:c>
      <x:c r="J7" s="24" t="str">
        <x:v>Kontrol phasing (harus sama dengan 100%)</x:v>
      </x:c>
      <x:c r="K7" s="24" t="str">
        <x:v>Kontrol phasing (harus sama dengan 100%)</x:v>
      </x:c>
      <x:c r="L7" s="24" t="str">
        <x:v>Kontrol phasing (harus sama dengan 100%)</x:v>
      </x:c>
      <x:c r="M7" s="24" t="str">
        <x:v>Kontrol phasing (harus sama dengan 100%)</x:v>
      </x:c>
      <x:c r="N7" s="24" t="str">
        <x:v>Kontrol phasing (harus sama dengan 100%)</x:v>
      </x:c>
      <x:c r="O7" s="24" t="str">
        <x:v>Kontrol phasing (harus sama dengan 100%)</x:v>
      </x:c>
      <x:c r="P7" s="24" t="str">
        <x:v>Kontrol phasing (harus sama dengan 100%)</x:v>
      </x:c>
      <x:c r="Q7" s="25" t="n">
        <x:f>ROUND(SUM(F6:Q6),6)</x:f>
        <x:v>1</x:v>
      </x:c>
    </x:row>
    <x:row r="8" ht="15" hidden="0" customHeight="1">
      <x:c r="A8" s="13" t="str">
        <x:v>Skenario</x:v>
      </x:c>
      <x:c r="B8" s="16" t="str">
        <x:v>Dasar</x:v>
      </x:c>
    </x:row>
    <x:row r="9" ht="15" hidden="0" customHeight="1">
      <x:c r="A9" s="13" t="str">
        <x:v>Mata Uang</x:v>
      </x:c>
      <x:c r="B9" s="16" t="str">
        <x:v>IDR</x:v>
      </x:c>
    </x:row>
    <x:row r="10" ht="15" hidden="0" customHeight="1">
      <x:c r="A10" s="13" t="str">
        <x:v>Pemilik Anggaran</x:v>
      </x:c>
      <x:c r="B10" s="16" t="str">
        <x:v>Head of IT Finance</x:v>
      </x:c>
    </x:row>
    <x:row r="11" ht="15" hidden="0" customHeight="1">
      <x:c r="A11" s="13" t="str">
        <x:v>Ambang Tinjauan</x:v>
      </x:c>
      <x:c r="B11" s="17" t="n">
        <x:v>0.05</x:v>
      </x:c>
    </x:row>
    <x:row r="12" ht="15" hidden="0" customHeight="1">
      <x:c r="A12" s="13" t="str">
        <x:v>Ambang Eskalasi</x:v>
      </x:c>
      <x:c r="B12" s="17" t="n">
        <x:v>0.1</x:v>
      </x:c>
    </x:row>
    <x:row r="13"/>
    <x:row r="14"/>
    <x:row r="15" ht="15" hidden="0" customHeight="1">
      <x:c r="A15" s="10" t="str">
        <x:v>Konvensi desain perusahaan</x:v>
      </x:c>
      <x:c r="B15" s="10" t="str">
        <x:v>Konvensi desain perusahaan</x:v>
      </x:c>
      <x:c r="C15" s="10" t="str">
        <x:v>Konvensi desain perusahaan</x:v>
      </x:c>
      <x:c r="D15" s="10" t="str">
        <x:v>Konvensi desain perusahaan</x:v>
      </x:c>
      <x:c r="E15" s="10" t="str">
        <x:v>Konvensi desain perusahaan</x:v>
      </x:c>
      <x:c r="F15" s="10" t="str">
        <x:v>Konvensi desain perusahaan</x:v>
      </x:c>
      <x:c r="G15" s="10" t="str">
        <x:v>Konvensi desain perusahaan</x:v>
      </x:c>
      <x:c r="H15" s="10" t="str">
        <x:v>Konvensi desain perusahaan</x:v>
      </x:c>
    </x:row>
    <x:row r="16" ht="15" hidden="0" customHeight="1">
      <x:c r="A16" s="13" t="str">
        <x:v>Klasifikasi biaya</x:v>
      </x:c>
      <x:c r="B16" s="27" t="str">
        <x:v>Run / Change / Transform</x:v>
      </x:c>
    </x:row>
    <x:row r="17" ht="15" hidden="0" customHeight="1">
      <x:c r="A17" s="13" t="str">
        <x:v>Tampilan kapitalisasi</x:v>
      </x:c>
      <x:c r="B17" s="27" t="str">
        <x:v>CapEx / OpEx</x:v>
      </x:c>
    </x:row>
    <x:row r="18" ht="15" hidden="0" customHeight="1">
      <x:c r="A18" s="13" t="str">
        <x:v>Konvensi varians</x:v>
      </x:c>
      <x:c r="B18" s="27" t="str">
        <x:v>Varians positif = pembengkakan biaya</x:v>
      </x:c>
    </x:row>
    <x:row r="19" ht="26.399999618530273" hidden="0" customHeight="1">
      <x:c r="A19" s="13" t="str">
        <x:v>Irama kontrol</x:v>
      </x:c>
      <x:c r="B19" s="27" t="str">
        <x:v>Tutup buku bulanan; reforecast triwulanan</x:v>
      </x:c>
    </x:row>
    <x:row r="20" ht="26.399999618530273" hidden="0" customHeight="1">
      <x:c r="A20" s="13" t="str">
        <x:v>Alur persetujuan</x:v>
      </x:c>
      <x:c r="B20" s="27" t="str">
        <x:v>Owner -&gt; IT Finance -&gt; CIO -&gt; CFO (sesuai kebutuhan)</x:v>
      </x:c>
    </x:row>
  </x:sheetData>
  <x:mergeCells>
    <x:mergeCell ref="A1:H1"/>
    <x:mergeCell ref="A2:P2"/>
    <x:mergeCell ref="A4:D4"/>
    <x:mergeCell ref="F4:Q4"/>
    <x:mergeCell ref="F7:P7"/>
    <x:mergeCell ref="A15:H15"/>
  </x:mergeCells>
  <x:dataValidations count="2">
    <x:dataValidation type="whole" operator="between" sqref="B6">
      <x:formula1>1</x:formula1>
      <x:formula2>12</x:formula2>
    </x:dataValidation>
    <x:dataValidation type="list" sqref="B8">
      <x:formula1>"Dasar,Optimistis,Pesimistis"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25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19.200000762939453" hidden="0" customHeight="1">
      <x:c r="A1" s="4" t="str">
        <x:v>Anggaran TI — Rencana Tahunan &amp; Alokasi Bulanan</x:v>
      </x:c>
      <x:c r="B1" s="4" t="str">
        <x:v>Anggaran TI — Rencana Tahunan &amp; Alokasi Bulanan</x:v>
      </x:c>
      <x:c r="C1" s="4" t="str">
        <x:v>Anggaran TI — Rencana Tahunan &amp; Alokasi Bulanan</x:v>
      </x:c>
      <x:c r="D1" s="4" t="str">
        <x:v>Anggaran TI — Rencana Tahunan &amp; Alokasi Bulanan</x:v>
      </x:c>
      <x:c r="E1" s="4" t="str">
        <x:v>Anggaran TI — Rencana Tahunan &amp; Alokasi Bulanan</x:v>
      </x:c>
      <x:c r="F1" s="4" t="str">
        <x:v>Anggaran TI — Rencana Tahunan &amp; Alokasi Bulanan</x:v>
      </x:c>
      <x:c r="G1" s="4" t="str">
        <x:v>Anggaran TI — Rencana Tahunan &amp; Alokasi Bulanan</x:v>
      </x:c>
      <x:c r="H1" s="4" t="str">
        <x:v>Anggaran TI — Rencana Tahunan &amp; Alokasi Bulanan</x:v>
      </x:c>
      <x:c r="I1" s="4" t="str">
        <x:v>Anggaran TI — Rencana Tahunan &amp; Alokasi Bulanan</x:v>
      </x:c>
      <x:c r="J1" s="4" t="str">
        <x:v>Anggaran TI — Rencana Tahunan &amp; Alokasi Bulanan</x:v>
      </x:c>
      <x:c r="K1" s="4" t="str">
        <x:v>Anggaran TI — Rencana Tahunan &amp; Alokasi Bulanan</x:v>
      </x:c>
      <x:c r="L1" s="4" t="str">
        <x:v>Anggaran TI — Rencana Tahunan &amp; Alokasi Bulanan</x:v>
      </x:c>
      <x:c r="M1" s="4" t="str">
        <x:v>Anggaran TI — Rencana Tahunan &amp; Alokasi Bulanan</x:v>
      </x:c>
      <x:c r="N1" s="4" t="str">
        <x:v>Anggaran TI — Rencana Tahunan &amp; Alokasi Bulanan</x:v>
      </x:c>
      <x:c r="O1" s="4" t="str">
        <x:v>Anggaran TI — Rencana Tahunan &amp; Alokasi Bulanan</x:v>
      </x:c>
      <x:c r="P1" s="4" t="str">
        <x:v>Anggaran TI — Rencana Tahunan &amp; Alokasi Bulanan</x:v>
      </x:c>
      <x:c r="Q1" s="4" t="str">
        <x:v>Anggaran TI — Rencana Tahunan &amp; Alokasi Bulanan</x:v>
      </x:c>
      <x:c r="R1" s="4" t="str">
        <x:v>Anggaran TI — Rencana Tahunan &amp; Alokasi Bulanan</x:v>
      </x:c>
      <x:c r="S1" s="4" t="str">
        <x:v>Anggaran TI — Rencana Tahunan &amp; Alokasi Bulanan</x:v>
      </x:c>
      <x:c r="T1" s="4" t="str">
        <x:v>Anggaran TI — Rencana Tahunan &amp; Alokasi Bulanan</x:v>
      </x:c>
      <x:c r="U1" s="4" t="str">
        <x:v>Anggaran TI — Rencana Tahunan &amp; Alokasi Bulanan</x:v>
      </x:c>
      <x:c r="V1" s="4" t="str">
        <x:v>Anggaran TI — Rencana Tahunan &amp; Alokasi Bulanan</x:v>
      </x:c>
    </x:row>
    <x:row r="2" ht="15" hidden="0" customHeight="1">
      <x:c r="A2" s="7" t="str">
        <x:v>Buat satu baris untuk setiap pos anggaran. Isi input anggaran tahunan di sel kuning; phasing bulanan dihitung otomatis dari Asumsi.</x:v>
      </x:c>
      <x:c r="B2" s="7" t="str">
        <x:v>Buat satu baris untuk setiap pos anggaran. Isi input anggaran tahunan di sel kuning; phasing bulanan dihitung otomatis dari Asumsi.</x:v>
      </x:c>
      <x:c r="C2" s="7" t="str">
        <x:v>Buat satu baris untuk setiap pos anggaran. Isi input anggaran tahunan di sel kuning; phasing bulanan dihitung otomatis dari Asumsi.</x:v>
      </x:c>
      <x:c r="D2" s="7" t="str">
        <x:v>Buat satu baris untuk setiap pos anggaran. Isi input anggaran tahunan di sel kuning; phasing bulanan dihitung otomatis dari Asumsi.</x:v>
      </x:c>
      <x:c r="E2" s="7" t="str">
        <x:v>Buat satu baris untuk setiap pos anggaran. Isi input anggaran tahunan di sel kuning; phasing bulanan dihitung otomatis dari Asumsi.</x:v>
      </x:c>
      <x:c r="F2" s="7" t="str">
        <x:v>Buat satu baris untuk setiap pos anggaran. Isi input anggaran tahunan di sel kuning; phasing bulanan dihitung otomatis dari Asumsi.</x:v>
      </x:c>
      <x:c r="G2" s="7" t="str">
        <x:v>Buat satu baris untuk setiap pos anggaran. Isi input anggaran tahunan di sel kuning; phasing bulanan dihitung otomatis dari Asumsi.</x:v>
      </x:c>
      <x:c r="H2" s="7" t="str">
        <x:v>Buat satu baris untuk setiap pos anggaran. Isi input anggaran tahunan di sel kuning; phasing bulanan dihitung otomatis dari Asumsi.</x:v>
      </x:c>
      <x:c r="I2" s="7" t="str">
        <x:v>Buat satu baris untuk setiap pos anggaran. Isi input anggaran tahunan di sel kuning; phasing bulanan dihitung otomatis dari Asumsi.</x:v>
      </x:c>
      <x:c r="J2" s="7" t="str">
        <x:v>Buat satu baris untuk setiap pos anggaran. Isi input anggaran tahunan di sel kuning; phasing bulanan dihitung otomatis dari Asumsi.</x:v>
      </x:c>
      <x:c r="K2" s="7" t="str">
        <x:v>Buat satu baris untuk setiap pos anggaran. Isi input anggaran tahunan di sel kuning; phasing bulanan dihitung otomatis dari Asumsi.</x:v>
      </x:c>
      <x:c r="L2" s="7" t="str">
        <x:v>Buat satu baris untuk setiap pos anggaran. Isi input anggaran tahunan di sel kuning; phasing bulanan dihitung otomatis dari Asumsi.</x:v>
      </x:c>
      <x:c r="M2" s="7" t="str">
        <x:v>Buat satu baris untuk setiap pos anggaran. Isi input anggaran tahunan di sel kuning; phasing bulanan dihitung otomatis dari Asumsi.</x:v>
      </x:c>
      <x:c r="N2" s="7" t="str">
        <x:v>Buat satu baris untuk setiap pos anggaran. Isi input anggaran tahunan di sel kuning; phasing bulanan dihitung otomatis dari Asumsi.</x:v>
      </x:c>
      <x:c r="O2" s="7" t="str">
        <x:v>Buat satu baris untuk setiap pos anggaran. Isi input anggaran tahunan di sel kuning; phasing bulanan dihitung otomatis dari Asumsi.</x:v>
      </x:c>
      <x:c r="P2" s="7" t="str">
        <x:v>Buat satu baris untuk setiap pos anggaran. Isi input anggaran tahunan di sel kuning; phasing bulanan dihitung otomatis dari Asumsi.</x:v>
      </x:c>
    </x:row>
    <x:row r="3"/>
    <x:row r="4" ht="15" hidden="0" customHeight="1">
      <x:c r="A4" s="30" t="str">
        <x:v>Standar input: setiap pos harus punya Budget ID unik, owner yang akuntabel, kategori, dan nilai anggaran tahunan yang disetujui. Rencana bulanan mengikuti profil phasing perusahaan kecuali ada override resmi.</x:v>
      </x:c>
      <x:c r="B4" s="30" t="str">
        <x:v>Standar input: setiap pos harus punya Budget ID unik, owner yang akuntabel, kategori, dan nilai anggaran tahunan yang disetujui. Rencana bulanan mengikuti profil phasing perusahaan kecuali ada override resmi.</x:v>
      </x:c>
      <x:c r="C4" s="30" t="str">
        <x:v>Standar input: setiap pos harus punya Budget ID unik, owner yang akuntabel, kategori, dan nilai anggaran tahunan yang disetujui. Rencana bulanan mengikuti profil phasing perusahaan kecuali ada override resmi.</x:v>
      </x:c>
      <x:c r="D4" s="30" t="str">
        <x:v>Standar input: setiap pos harus punya Budget ID unik, owner yang akuntabel, kategori, dan nilai anggaran tahunan yang disetujui. Rencana bulanan mengikuti profil phasing perusahaan kecuali ada override resmi.</x:v>
      </x:c>
      <x:c r="E4" s="30" t="str">
        <x:v>Standar input: setiap pos harus punya Budget ID unik, owner yang akuntabel, kategori, dan nilai anggaran tahunan yang disetujui. Rencana bulanan mengikuti profil phasing perusahaan kecuali ada override resmi.</x:v>
      </x:c>
      <x:c r="F4" s="30" t="str">
        <x:v>Standar input: setiap pos harus punya Budget ID unik, owner yang akuntabel, kategori, dan nilai anggaran tahunan yang disetujui. Rencana bulanan mengikuti profil phasing perusahaan kecuali ada override resmi.</x:v>
      </x:c>
      <x:c r="G4" s="30" t="str">
        <x:v>Standar input: setiap pos harus punya Budget ID unik, owner yang akuntabel, kategori, dan nilai anggaran tahunan yang disetujui. Rencana bulanan mengikuti profil phasing perusahaan kecuali ada override resmi.</x:v>
      </x:c>
      <x:c r="H4" s="30" t="str">
        <x:v>Standar input: setiap pos harus punya Budget ID unik, owner yang akuntabel, kategori, dan nilai anggaran tahunan yang disetujui. Rencana bulanan mengikuti profil phasing perusahaan kecuali ada override resmi.</x:v>
      </x:c>
      <x:c r="I4" s="30" t="str">
        <x:v>Standar input: setiap pos harus punya Budget ID unik, owner yang akuntabel, kategori, dan nilai anggaran tahunan yang disetujui. Rencana bulanan mengikuti profil phasing perusahaan kecuali ada override resmi.</x:v>
      </x:c>
      <x:c r="J4" s="30" t="str">
        <x:v>Standar input: setiap pos harus punya Budget ID unik, owner yang akuntabel, kategori, dan nilai anggaran tahunan yang disetujui. Rencana bulanan mengikuti profil phasing perusahaan kecuali ada override resmi.</x:v>
      </x:c>
      <x:c r="K4" s="30" t="str">
        <x:v>Standar input: setiap pos harus punya Budget ID unik, owner yang akuntabel, kategori, dan nilai anggaran tahunan yang disetujui. Rencana bulanan mengikuti profil phasing perusahaan kecuali ada override resmi.</x:v>
      </x:c>
      <x:c r="L4" s="30" t="str">
        <x:v>Standar input: setiap pos harus punya Budget ID unik, owner yang akuntabel, kategori, dan nilai anggaran tahunan yang disetujui. Rencana bulanan mengikuti profil phasing perusahaan kecuali ada override resmi.</x:v>
      </x:c>
      <x:c r="M4" s="30" t="str">
        <x:v>Standar input: setiap pos harus punya Budget ID unik, owner yang akuntabel, kategori, dan nilai anggaran tahunan yang disetujui. Rencana bulanan mengikuti profil phasing perusahaan kecuali ada override resmi.</x:v>
      </x:c>
      <x:c r="N4" s="30" t="str">
        <x:v>Standar input: setiap pos harus punya Budget ID unik, owner yang akuntabel, kategori, dan nilai anggaran tahunan yang disetujui. Rencana bulanan mengikuti profil phasing perusahaan kecuali ada override resmi.</x:v>
      </x:c>
      <x:c r="O4" s="30" t="str">
        <x:v>Standar input: setiap pos harus punya Budget ID unik, owner yang akuntabel, kategori, dan nilai anggaran tahunan yang disetujui. Rencana bulanan mengikuti profil phasing perusahaan kecuali ada override resmi.</x:v>
      </x:c>
      <x:c r="P4" s="30" t="str">
        <x:v>Standar input: setiap pos harus punya Budget ID unik, owner yang akuntabel, kategori, dan nilai anggaran tahunan yang disetujui. Rencana bulanan mengikuti profil phasing perusahaan kecuali ada override resmi.</x:v>
      </x:c>
      <x:c r="Q4" s="30" t="str">
        <x:v>Standar input: setiap pos harus punya Budget ID unik, owner yang akuntabel, kategori, dan nilai anggaran tahunan yang disetujui. Rencana bulanan mengikuti profil phasing perusahaan kecuali ada override resmi.</x:v>
      </x:c>
      <x:c r="R4" s="30" t="str">
        <x:v>Standar input: setiap pos harus punya Budget ID unik, owner yang akuntabel, kategori, dan nilai anggaran tahunan yang disetujui. Rencana bulanan mengikuti profil phasing perusahaan kecuali ada override resmi.</x:v>
      </x:c>
      <x:c r="S4" s="30" t="str">
        <x:v>Standar input: setiap pos harus punya Budget ID unik, owner yang akuntabel, kategori, dan nilai anggaran tahunan yang disetujui. Rencana bulanan mengikuti profil phasing perusahaan kecuali ada override resmi.</x:v>
      </x:c>
      <x:c r="T4" s="30" t="str">
        <x:v>Standar input: setiap pos harus punya Budget ID unik, owner yang akuntabel, kategori, dan nilai anggaran tahunan yang disetujui. Rencana bulanan mengikuti profil phasing perusahaan kecuali ada override resmi.</x:v>
      </x:c>
      <x:c r="U4" s="30" t="str">
        <x:v>Standar input: setiap pos harus punya Budget ID unik, owner yang akuntabel, kategori, dan nilai anggaran tahunan yang disetujui. Rencana bulanan mengikuti profil phasing perusahaan kecuali ada override resmi.</x:v>
      </x:c>
      <x:c r="V4" s="30" t="str">
        <x:v>Standar input: setiap pos harus punya Budget ID unik, owner yang akuntabel, kategori, dan nilai anggaran tahunan yang disetujui. Rencana bulanan mengikuti profil phasing perusahaan kecuali ada override resmi.</x:v>
      </x:c>
    </x:row>
    <x:row r="5"/>
    <x:row r="6" ht="26.399999618530273" hidden="0" customHeight="1">
      <x:c r="A6" s="22" t="str">
        <x:v>Budget ID</x:v>
      </x:c>
      <x:c r="B6" s="22" t="str">
        <x:v>Unit Bisnis</x:v>
      </x:c>
      <x:c r="C6" s="22" t="str">
        <x:v>Cost Center</x:v>
      </x:c>
      <x:c r="D6" s="22" t="str">
        <x:v>Layanan / Inisiatif</x:v>
      </x:c>
      <x:c r="E6" s="22" t="str">
        <x:v>Driver COBIT</x:v>
      </x:c>
      <x:c r="F6" s="22" t="str">
        <x:v>Jenis Belanja</x:v>
      </x:c>
      <x:c r="G6" s="22" t="str">
        <x:v>Run / Change</x:v>
      </x:c>
      <x:c r="H6" s="22" t="str">
        <x:v>Kategori Biaya</x:v>
      </x:c>
      <x:c r="I6" s="22" t="str">
        <x:v>Owner Akuntabel</x:v>
      </x:c>
      <x:c r="J6" s="22" t="str">
        <x:v>Anggaran Tahunan Disetujui</x:v>
      </x:c>
      <x:c r="K6" s="22" t="str">
        <x:v>Jan</x:v>
      </x:c>
      <x:c r="L6" s="22" t="str">
        <x:v>Feb</x:v>
      </x:c>
      <x:c r="M6" s="22" t="str">
        <x:v>Mar</x:v>
      </x:c>
      <x:c r="N6" s="22" t="str">
        <x:v>Apr</x:v>
      </x:c>
      <x:c r="O6" s="22" t="str">
        <x:v>Mei</x:v>
      </x:c>
      <x:c r="P6" s="22" t="str">
        <x:v>Jun</x:v>
      </x:c>
      <x:c r="Q6" s="22" t="str">
        <x:v>Jul</x:v>
      </x:c>
      <x:c r="R6" s="22" t="str">
        <x:v>Agu</x:v>
      </x:c>
      <x:c r="S6" s="22" t="str">
        <x:v>Sep</x:v>
      </x:c>
      <x:c r="T6" s="22" t="str">
        <x:v>Okt</x:v>
      </x:c>
      <x:c r="U6" s="22" t="str">
        <x:v>Nov</x:v>
      </x:c>
      <x:c r="V6" s="22" t="str">
        <x:v>Des</x:v>
      </x:c>
    </x:row>
    <x:row r="7" ht="15" hidden="0" customHeight="1">
      <x:c r="A7" s="16" t="str">
        <x:v>IT-001</x:v>
      </x:c>
      <x:c r="B7" s="16" t="str">
        <x:v>TI Korporat</x:v>
      </x:c>
      <x:c r="C7" s="16" t="str">
        <x:v>CC-IT-100</x:v>
      </x:c>
      <x:c r="D7" s="16" t="str">
        <x:v>Infrastruktur Cloud</x:v>
      </x:c>
      <x:c r="E7" s="16" t="str">
        <x:v>APO06</x:v>
      </x:c>
      <x:c r="F7" s="16" t="str">
        <x:v>OpEx</x:v>
      </x:c>
      <x:c r="G7" s="16" t="str">
        <x:v>Run</x:v>
      </x:c>
      <x:c r="H7" s="16" t="str">
        <x:v>Cloud / Hosting</x:v>
      </x:c>
      <x:c r="I7" s="16" t="str">
        <x:v>Infrastructure Manager</x:v>
      </x:c>
      <x:c r="J7" s="31" t="n">
        <x:v>1200000000</x:v>
      </x:c>
      <x:c r="K7" s="32" t="n">
        <x:f>IF($A7="","",ROUND($J7*'Asumsi'!F$6,0))</x:f>
        <x:v>84000000</x:v>
      </x:c>
      <x:c r="L7" s="32" t="n">
        <x:f>IF($A7="","",ROUND($J7*'Asumsi'!G$6,0))</x:f>
        <x:v>84000000</x:v>
      </x:c>
      <x:c r="M7" s="32" t="n">
        <x:f>IF($A7="","",ROUND($J7*'Asumsi'!H$6,0))</x:f>
        <x:v>96000000</x:v>
      </x:c>
      <x:c r="N7" s="32" t="n">
        <x:f>IF($A7="","",ROUND($J7*'Asumsi'!I$6,0))</x:f>
        <x:v>96000000</x:v>
      </x:c>
      <x:c r="O7" s="32" t="n">
        <x:f>IF($A7="","",ROUND($J7*'Asumsi'!J$6,0))</x:f>
        <x:v>96000000</x:v>
      </x:c>
      <x:c r="P7" s="32" t="n">
        <x:f>IF($A7="","",ROUND($J7*'Asumsi'!K$6,0))</x:f>
        <x:v>96000000</x:v>
      </x:c>
      <x:c r="Q7" s="32" t="n">
        <x:f>IF($A7="","",ROUND($J7*'Asumsi'!L$6,0))</x:f>
        <x:v>108000000</x:v>
      </x:c>
      <x:c r="R7" s="32" t="n">
        <x:f>IF($A7="","",ROUND($J7*'Asumsi'!M$6,0))</x:f>
        <x:v>108000000</x:v>
      </x:c>
      <x:c r="S7" s="32" t="n">
        <x:f>IF($A7="","",ROUND($J7*'Asumsi'!N$6,0))</x:f>
        <x:v>96000000</x:v>
      </x:c>
      <x:c r="T7" s="32" t="n">
        <x:f>IF($A7="","",ROUND($J7*'Asumsi'!O$6,0))</x:f>
        <x:v>108000000</x:v>
      </x:c>
      <x:c r="U7" s="32" t="n">
        <x:f>IF($A7="","",ROUND($J7*'Asumsi'!P$6,0))</x:f>
        <x:v>108000000</x:v>
      </x:c>
      <x:c r="V7" s="32" t="n">
        <x:f>IF($A7="","",ROUND($J7*'Asumsi'!Q$6,0))</x:f>
        <x:v>120000000</x:v>
      </x:c>
    </x:row>
    <x:row r="8" ht="15" hidden="0" customHeight="1">
      <x:c r="A8" s="16" t="str">
        <x:v>IT-002</x:v>
      </x:c>
      <x:c r="B8" s="16" t="str">
        <x:v>TI Korporat</x:v>
      </x:c>
      <x:c r="C8" s="16" t="str">
        <x:v>CC-IT-200</x:v>
      </x:c>
      <x:c r="D8" s="16" t="str">
        <x:v>Program Cybersecurity</x:v>
      </x:c>
      <x:c r="E8" s="16" t="str">
        <x:v>APO06</x:v>
      </x:c>
      <x:c r="F8" s="16" t="str">
        <x:v>OpEx</x:v>
      </x:c>
      <x:c r="G8" s="16" t="str">
        <x:v>Change</x:v>
      </x:c>
      <x:c r="H8" s="16" t="str">
        <x:v>Security</x:v>
      </x:c>
      <x:c r="I8" s="16" t="str">
        <x:v>CISO</x:v>
      </x:c>
      <x:c r="J8" s="31" t="n">
        <x:v>650000000</x:v>
      </x:c>
      <x:c r="K8" s="32" t="n">
        <x:f>IF($A8="","",ROUND($J8*'Asumsi'!F$6,0))</x:f>
        <x:v>45500000</x:v>
      </x:c>
      <x:c r="L8" s="32" t="n">
        <x:f>IF($A8="","",ROUND($J8*'Asumsi'!G$6,0))</x:f>
        <x:v>45500000</x:v>
      </x:c>
      <x:c r="M8" s="32" t="n">
        <x:f>IF($A8="","",ROUND($J8*'Asumsi'!H$6,0))</x:f>
        <x:v>52000000</x:v>
      </x:c>
      <x:c r="N8" s="32" t="n">
        <x:f>IF($A8="","",ROUND($J8*'Asumsi'!I$6,0))</x:f>
        <x:v>52000000</x:v>
      </x:c>
      <x:c r="O8" s="32" t="n">
        <x:f>IF($A8="","",ROUND($J8*'Asumsi'!J$6,0))</x:f>
        <x:v>52000000</x:v>
      </x:c>
      <x:c r="P8" s="32" t="n">
        <x:f>IF($A8="","",ROUND($J8*'Asumsi'!K$6,0))</x:f>
        <x:v>52000000</x:v>
      </x:c>
      <x:c r="Q8" s="32" t="n">
        <x:f>IF($A8="","",ROUND($J8*'Asumsi'!L$6,0))</x:f>
        <x:v>58500000</x:v>
      </x:c>
      <x:c r="R8" s="32" t="n">
        <x:f>IF($A8="","",ROUND($J8*'Asumsi'!M$6,0))</x:f>
        <x:v>58500000</x:v>
      </x:c>
      <x:c r="S8" s="32" t="n">
        <x:f>IF($A8="","",ROUND($J8*'Asumsi'!N$6,0))</x:f>
        <x:v>52000000</x:v>
      </x:c>
      <x:c r="T8" s="32" t="n">
        <x:f>IF($A8="","",ROUND($J8*'Asumsi'!O$6,0))</x:f>
        <x:v>58500000</x:v>
      </x:c>
      <x:c r="U8" s="32" t="n">
        <x:f>IF($A8="","",ROUND($J8*'Asumsi'!P$6,0))</x:f>
        <x:v>58500000</x:v>
      </x:c>
      <x:c r="V8" s="32" t="n">
        <x:f>IF($A8="","",ROUND($J8*'Asumsi'!Q$6,0))</x:f>
        <x:v>65000000</x:v>
      </x:c>
    </x:row>
    <x:row r="9" ht="15" hidden="0" customHeight="1">
      <x:c r="A9" s="16" t="str">
        <x:v>IT-003</x:v>
      </x:c>
      <x:c r="B9" s="16" t="str">
        <x:v>Digital</x:v>
      </x:c>
      <x:c r="C9" s="16" t="str">
        <x:v>CC-DIG-100</x:v>
      </x:c>
      <x:c r="D9" s="16" t="str">
        <x:v>Modernisasi ERP</x:v>
      </x:c>
      <x:c r="E9" s="16" t="str">
        <x:v>APO06</x:v>
      </x:c>
      <x:c r="F9" s="16" t="str">
        <x:v>CapEx</x:v>
      </x:c>
      <x:c r="G9" s="16" t="str">
        <x:v>Transform</x:v>
      </x:c>
      <x:c r="H9" s="16" t="str">
        <x:v>Applications</x:v>
      </x:c>
      <x:c r="I9" s="16" t="str">
        <x:v>CIO</x:v>
      </x:c>
      <x:c r="J9" s="31" t="n">
        <x:v>1800000000</x:v>
      </x:c>
      <x:c r="K9" s="32" t="n">
        <x:f>IF($A9="","",ROUND($J9*'Asumsi'!F$6,0))</x:f>
        <x:v>126000000</x:v>
      </x:c>
      <x:c r="L9" s="32" t="n">
        <x:f>IF($A9="","",ROUND($J9*'Asumsi'!G$6,0))</x:f>
        <x:v>126000000</x:v>
      </x:c>
      <x:c r="M9" s="32" t="n">
        <x:f>IF($A9="","",ROUND($J9*'Asumsi'!H$6,0))</x:f>
        <x:v>144000000</x:v>
      </x:c>
      <x:c r="N9" s="32" t="n">
        <x:f>IF($A9="","",ROUND($J9*'Asumsi'!I$6,0))</x:f>
        <x:v>144000000</x:v>
      </x:c>
      <x:c r="O9" s="32" t="n">
        <x:f>IF($A9="","",ROUND($J9*'Asumsi'!J$6,0))</x:f>
        <x:v>144000000</x:v>
      </x:c>
      <x:c r="P9" s="32" t="n">
        <x:f>IF($A9="","",ROUND($J9*'Asumsi'!K$6,0))</x:f>
        <x:v>144000000</x:v>
      </x:c>
      <x:c r="Q9" s="32" t="n">
        <x:f>IF($A9="","",ROUND($J9*'Asumsi'!L$6,0))</x:f>
        <x:v>162000000</x:v>
      </x:c>
      <x:c r="R9" s="32" t="n">
        <x:f>IF($A9="","",ROUND($J9*'Asumsi'!M$6,0))</x:f>
        <x:v>162000000</x:v>
      </x:c>
      <x:c r="S9" s="32" t="n">
        <x:f>IF($A9="","",ROUND($J9*'Asumsi'!N$6,0))</x:f>
        <x:v>144000000</x:v>
      </x:c>
      <x:c r="T9" s="32" t="n">
        <x:f>IF($A9="","",ROUND($J9*'Asumsi'!O$6,0))</x:f>
        <x:v>162000000</x:v>
      </x:c>
      <x:c r="U9" s="32" t="n">
        <x:f>IF($A9="","",ROUND($J9*'Asumsi'!P$6,0))</x:f>
        <x:v>162000000</x:v>
      </x:c>
      <x:c r="V9" s="32" t="n">
        <x:f>IF($A9="","",ROUND($J9*'Asumsi'!Q$6,0))</x:f>
        <x:v>180000000</x:v>
      </x:c>
    </x:row>
    <x:row r="10" ht="15" hidden="0" customHeight="1">
      <x:c r="A10" s="16" t="str">
        <x:v>IT-004</x:v>
      </x:c>
      <x:c r="B10" s="16" t="str">
        <x:v>TI Korporat</x:v>
      </x:c>
      <x:c r="C10" s="16" t="str">
        <x:v>CC-IT-300</x:v>
      </x:c>
      <x:c r="D10" s="16" t="str">
        <x:v>Layanan End User</x:v>
      </x:c>
      <x:c r="E10" s="16" t="str">
        <x:v>APO06</x:v>
      </x:c>
      <x:c r="F10" s="16" t="str">
        <x:v>OpEx</x:v>
      </x:c>
      <x:c r="G10" s="16" t="str">
        <x:v>Run</x:v>
      </x:c>
      <x:c r="H10" s="16" t="str">
        <x:v>Workplace &amp; Devices</x:v>
      </x:c>
      <x:c r="I10" s="16" t="str">
        <x:v>IT Operations Manager</x:v>
      </x:c>
      <x:c r="J10" s="31" t="n">
        <x:v>480000000</x:v>
      </x:c>
      <x:c r="K10" s="32" t="n">
        <x:f>IF($A10="","",ROUND($J10*'Asumsi'!F$6,0))</x:f>
        <x:v>33600000</x:v>
      </x:c>
      <x:c r="L10" s="32" t="n">
        <x:f>IF($A10="","",ROUND($J10*'Asumsi'!G$6,0))</x:f>
        <x:v>33600000</x:v>
      </x:c>
      <x:c r="M10" s="32" t="n">
        <x:f>IF($A10="","",ROUND($J10*'Asumsi'!H$6,0))</x:f>
        <x:v>38400000</x:v>
      </x:c>
      <x:c r="N10" s="32" t="n">
        <x:f>IF($A10="","",ROUND($J10*'Asumsi'!I$6,0))</x:f>
        <x:v>38400000</x:v>
      </x:c>
      <x:c r="O10" s="32" t="n">
        <x:f>IF($A10="","",ROUND($J10*'Asumsi'!J$6,0))</x:f>
        <x:v>38400000</x:v>
      </x:c>
      <x:c r="P10" s="32" t="n">
        <x:f>IF($A10="","",ROUND($J10*'Asumsi'!K$6,0))</x:f>
        <x:v>38400000</x:v>
      </x:c>
      <x:c r="Q10" s="32" t="n">
        <x:f>IF($A10="","",ROUND($J10*'Asumsi'!L$6,0))</x:f>
        <x:v>43200000</x:v>
      </x:c>
      <x:c r="R10" s="32" t="n">
        <x:f>IF($A10="","",ROUND($J10*'Asumsi'!M$6,0))</x:f>
        <x:v>43200000</x:v>
      </x:c>
      <x:c r="S10" s="32" t="n">
        <x:f>IF($A10="","",ROUND($J10*'Asumsi'!N$6,0))</x:f>
        <x:v>38400000</x:v>
      </x:c>
      <x:c r="T10" s="32" t="n">
        <x:f>IF($A10="","",ROUND($J10*'Asumsi'!O$6,0))</x:f>
        <x:v>43200000</x:v>
      </x:c>
      <x:c r="U10" s="32" t="n">
        <x:f>IF($A10="","",ROUND($J10*'Asumsi'!P$6,0))</x:f>
        <x:v>43200000</x:v>
      </x:c>
      <x:c r="V10" s="32" t="n">
        <x:f>IF($A10="","",ROUND($J10*'Asumsi'!Q$6,0))</x:f>
        <x:v>48000000</x:v>
      </x:c>
    </x:row>
    <x:row r="11" ht="15" hidden="0" customHeight="1">
      <x:c r="A11" s="16" t="str">
        <x:v>IT-005</x:v>
      </x:c>
      <x:c r="B11" s="16" t="str">
        <x:v>Digital</x:v>
      </x:c>
      <x:c r="C11" s="16" t="str">
        <x:v>CC-DIG-200</x:v>
      </x:c>
      <x:c r="D11" s="16" t="str">
        <x:v>Data &amp; Analitik</x:v>
      </x:c>
      <x:c r="E11" s="16" t="str">
        <x:v>APO06</x:v>
      </x:c>
      <x:c r="F11" s="16" t="str">
        <x:v>CapEx</x:v>
      </x:c>
      <x:c r="G11" s="16" t="str">
        <x:v>Change</x:v>
      </x:c>
      <x:c r="H11" s="16" t="str">
        <x:v>Data Platform</x:v>
      </x:c>
      <x:c r="I11" s="16" t="str">
        <x:v>CDO</x:v>
      </x:c>
      <x:c r="J11" s="31" t="n">
        <x:v>900000000</x:v>
      </x:c>
      <x:c r="K11" s="32" t="n">
        <x:f>IF($A11="","",ROUND($J11*'Asumsi'!F$6,0))</x:f>
        <x:v>63000000</x:v>
      </x:c>
      <x:c r="L11" s="32" t="n">
        <x:f>IF($A11="","",ROUND($J11*'Asumsi'!G$6,0))</x:f>
        <x:v>63000000</x:v>
      </x:c>
      <x:c r="M11" s="32" t="n">
        <x:f>IF($A11="","",ROUND($J11*'Asumsi'!H$6,0))</x:f>
        <x:v>72000000</x:v>
      </x:c>
      <x:c r="N11" s="32" t="n">
        <x:f>IF($A11="","",ROUND($J11*'Asumsi'!I$6,0))</x:f>
        <x:v>72000000</x:v>
      </x:c>
      <x:c r="O11" s="32" t="n">
        <x:f>IF($A11="","",ROUND($J11*'Asumsi'!J$6,0))</x:f>
        <x:v>72000000</x:v>
      </x:c>
      <x:c r="P11" s="32" t="n">
        <x:f>IF($A11="","",ROUND($J11*'Asumsi'!K$6,0))</x:f>
        <x:v>72000000</x:v>
      </x:c>
      <x:c r="Q11" s="32" t="n">
        <x:f>IF($A11="","",ROUND($J11*'Asumsi'!L$6,0))</x:f>
        <x:v>81000000</x:v>
      </x:c>
      <x:c r="R11" s="32" t="n">
        <x:f>IF($A11="","",ROUND($J11*'Asumsi'!M$6,0))</x:f>
        <x:v>81000000</x:v>
      </x:c>
      <x:c r="S11" s="32" t="n">
        <x:f>IF($A11="","",ROUND($J11*'Asumsi'!N$6,0))</x:f>
        <x:v>72000000</x:v>
      </x:c>
      <x:c r="T11" s="32" t="n">
        <x:f>IF($A11="","",ROUND($J11*'Asumsi'!O$6,0))</x:f>
        <x:v>81000000</x:v>
      </x:c>
      <x:c r="U11" s="32" t="n">
        <x:f>IF($A11="","",ROUND($J11*'Asumsi'!P$6,0))</x:f>
        <x:v>81000000</x:v>
      </x:c>
      <x:c r="V11" s="32" t="n">
        <x:f>IF($A11="","",ROUND($J11*'Asumsi'!Q$6,0))</x:f>
        <x:v>90000000</x:v>
      </x:c>
    </x:row>
    <x:row r="12" ht="15" hidden="0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31"/>
      <x:c r="K12" s="32" t="str">
        <x:f>IF($A12="","",ROUND($J12*'Asumsi'!F$6,0))</x:f>
      </x:c>
      <x:c r="L12" s="32" t="str">
        <x:f>IF($A12="","",ROUND($J12*'Asumsi'!G$6,0))</x:f>
      </x:c>
      <x:c r="M12" s="32" t="str">
        <x:f>IF($A12="","",ROUND($J12*'Asumsi'!H$6,0))</x:f>
      </x:c>
      <x:c r="N12" s="32" t="str">
        <x:f>IF($A12="","",ROUND($J12*'Asumsi'!I$6,0))</x:f>
      </x:c>
      <x:c r="O12" s="32" t="str">
        <x:f>IF($A12="","",ROUND($J12*'Asumsi'!J$6,0))</x:f>
      </x:c>
      <x:c r="P12" s="32" t="str">
        <x:f>IF($A12="","",ROUND($J12*'Asumsi'!K$6,0))</x:f>
      </x:c>
      <x:c r="Q12" s="32" t="str">
        <x:f>IF($A12="","",ROUND($J12*'Asumsi'!L$6,0))</x:f>
      </x:c>
      <x:c r="R12" s="32" t="str">
        <x:f>IF($A12="","",ROUND($J12*'Asumsi'!M$6,0))</x:f>
      </x:c>
      <x:c r="S12" s="32" t="str">
        <x:f>IF($A12="","",ROUND($J12*'Asumsi'!N$6,0))</x:f>
      </x:c>
      <x:c r="T12" s="32" t="str">
        <x:f>IF($A12="","",ROUND($J12*'Asumsi'!O$6,0))</x:f>
      </x:c>
      <x:c r="U12" s="32" t="str">
        <x:f>IF($A12="","",ROUND($J12*'Asumsi'!P$6,0))</x:f>
      </x:c>
      <x:c r="V12" s="32" t="str">
        <x:f>IF($A12="","",ROUND($J12*'Asumsi'!Q$6,0))</x:f>
      </x:c>
    </x:row>
    <x:row r="13" ht="15" hidden="0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31"/>
      <x:c r="K13" s="32" t="str">
        <x:f>IF($A13="","",ROUND($J13*'Asumsi'!F$6,0))</x:f>
      </x:c>
      <x:c r="L13" s="32" t="str">
        <x:f>IF($A13="","",ROUND($J13*'Asumsi'!G$6,0))</x:f>
      </x:c>
      <x:c r="M13" s="32" t="str">
        <x:f>IF($A13="","",ROUND($J13*'Asumsi'!H$6,0))</x:f>
      </x:c>
      <x:c r="N13" s="32" t="str">
        <x:f>IF($A13="","",ROUND($J13*'Asumsi'!I$6,0))</x:f>
      </x:c>
      <x:c r="O13" s="32" t="str">
        <x:f>IF($A13="","",ROUND($J13*'Asumsi'!J$6,0))</x:f>
      </x:c>
      <x:c r="P13" s="32" t="str">
        <x:f>IF($A13="","",ROUND($J13*'Asumsi'!K$6,0))</x:f>
      </x:c>
      <x:c r="Q13" s="32" t="str">
        <x:f>IF($A13="","",ROUND($J13*'Asumsi'!L$6,0))</x:f>
      </x:c>
      <x:c r="R13" s="32" t="str">
        <x:f>IF($A13="","",ROUND($J13*'Asumsi'!M$6,0))</x:f>
      </x:c>
      <x:c r="S13" s="32" t="str">
        <x:f>IF($A13="","",ROUND($J13*'Asumsi'!N$6,0))</x:f>
      </x:c>
      <x:c r="T13" s="32" t="str">
        <x:f>IF($A13="","",ROUND($J13*'Asumsi'!O$6,0))</x:f>
      </x:c>
      <x:c r="U13" s="32" t="str">
        <x:f>IF($A13="","",ROUND($J13*'Asumsi'!P$6,0))</x:f>
      </x:c>
      <x:c r="V13" s="32" t="str">
        <x:f>IF($A13="","",ROUND($J13*'Asumsi'!Q$6,0))</x:f>
      </x:c>
    </x:row>
    <x:row r="14" ht="15" hidden="0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31"/>
      <x:c r="K14" s="32" t="str">
        <x:f>IF($A14="","",ROUND($J14*'Asumsi'!F$6,0))</x:f>
      </x:c>
      <x:c r="L14" s="32" t="str">
        <x:f>IF($A14="","",ROUND($J14*'Asumsi'!G$6,0))</x:f>
      </x:c>
      <x:c r="M14" s="32" t="str">
        <x:f>IF($A14="","",ROUND($J14*'Asumsi'!H$6,0))</x:f>
      </x:c>
      <x:c r="N14" s="32" t="str">
        <x:f>IF($A14="","",ROUND($J14*'Asumsi'!I$6,0))</x:f>
      </x:c>
      <x:c r="O14" s="32" t="str">
        <x:f>IF($A14="","",ROUND($J14*'Asumsi'!J$6,0))</x:f>
      </x:c>
      <x:c r="P14" s="32" t="str">
        <x:f>IF($A14="","",ROUND($J14*'Asumsi'!K$6,0))</x:f>
      </x:c>
      <x:c r="Q14" s="32" t="str">
        <x:f>IF($A14="","",ROUND($J14*'Asumsi'!L$6,0))</x:f>
      </x:c>
      <x:c r="R14" s="32" t="str">
        <x:f>IF($A14="","",ROUND($J14*'Asumsi'!M$6,0))</x:f>
      </x:c>
      <x:c r="S14" s="32" t="str">
        <x:f>IF($A14="","",ROUND($J14*'Asumsi'!N$6,0))</x:f>
      </x:c>
      <x:c r="T14" s="32" t="str">
        <x:f>IF($A14="","",ROUND($J14*'Asumsi'!O$6,0))</x:f>
      </x:c>
      <x:c r="U14" s="32" t="str">
        <x:f>IF($A14="","",ROUND($J14*'Asumsi'!P$6,0))</x:f>
      </x:c>
      <x:c r="V14" s="32" t="str">
        <x:f>IF($A14="","",ROUND($J14*'Asumsi'!Q$6,0))</x:f>
      </x:c>
    </x:row>
    <x:row r="15" ht="15" hidden="0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31"/>
      <x:c r="K15" s="32" t="str">
        <x:f>IF($A15="","",ROUND($J15*'Asumsi'!F$6,0))</x:f>
      </x:c>
      <x:c r="L15" s="32" t="str">
        <x:f>IF($A15="","",ROUND($J15*'Asumsi'!G$6,0))</x:f>
      </x:c>
      <x:c r="M15" s="32" t="str">
        <x:f>IF($A15="","",ROUND($J15*'Asumsi'!H$6,0))</x:f>
      </x:c>
      <x:c r="N15" s="32" t="str">
        <x:f>IF($A15="","",ROUND($J15*'Asumsi'!I$6,0))</x:f>
      </x:c>
      <x:c r="O15" s="32" t="str">
        <x:f>IF($A15="","",ROUND($J15*'Asumsi'!J$6,0))</x:f>
      </x:c>
      <x:c r="P15" s="32" t="str">
        <x:f>IF($A15="","",ROUND($J15*'Asumsi'!K$6,0))</x:f>
      </x:c>
      <x:c r="Q15" s="32" t="str">
        <x:f>IF($A15="","",ROUND($J15*'Asumsi'!L$6,0))</x:f>
      </x:c>
      <x:c r="R15" s="32" t="str">
        <x:f>IF($A15="","",ROUND($J15*'Asumsi'!M$6,0))</x:f>
      </x:c>
      <x:c r="S15" s="32" t="str">
        <x:f>IF($A15="","",ROUND($J15*'Asumsi'!N$6,0))</x:f>
      </x:c>
      <x:c r="T15" s="32" t="str">
        <x:f>IF($A15="","",ROUND($J15*'Asumsi'!O$6,0))</x:f>
      </x:c>
      <x:c r="U15" s="32" t="str">
        <x:f>IF($A15="","",ROUND($J15*'Asumsi'!P$6,0))</x:f>
      </x:c>
      <x:c r="V15" s="32" t="str">
        <x:f>IF($A15="","",ROUND($J15*'Asumsi'!Q$6,0))</x:f>
      </x:c>
    </x:row>
    <x:row r="16" ht="15" hidden="0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31"/>
      <x:c r="K16" s="32" t="str">
        <x:f>IF($A16="","",ROUND($J16*'Asumsi'!F$6,0))</x:f>
      </x:c>
      <x:c r="L16" s="32" t="str">
        <x:f>IF($A16="","",ROUND($J16*'Asumsi'!G$6,0))</x:f>
      </x:c>
      <x:c r="M16" s="32" t="str">
        <x:f>IF($A16="","",ROUND($J16*'Asumsi'!H$6,0))</x:f>
      </x:c>
      <x:c r="N16" s="32" t="str">
        <x:f>IF($A16="","",ROUND($J16*'Asumsi'!I$6,0))</x:f>
      </x:c>
      <x:c r="O16" s="32" t="str">
        <x:f>IF($A16="","",ROUND($J16*'Asumsi'!J$6,0))</x:f>
      </x:c>
      <x:c r="P16" s="32" t="str">
        <x:f>IF($A16="","",ROUND($J16*'Asumsi'!K$6,0))</x:f>
      </x:c>
      <x:c r="Q16" s="32" t="str">
        <x:f>IF($A16="","",ROUND($J16*'Asumsi'!L$6,0))</x:f>
      </x:c>
      <x:c r="R16" s="32" t="str">
        <x:f>IF($A16="","",ROUND($J16*'Asumsi'!M$6,0))</x:f>
      </x:c>
      <x:c r="S16" s="32" t="str">
        <x:f>IF($A16="","",ROUND($J16*'Asumsi'!N$6,0))</x:f>
      </x:c>
      <x:c r="T16" s="32" t="str">
        <x:f>IF($A16="","",ROUND($J16*'Asumsi'!O$6,0))</x:f>
      </x:c>
      <x:c r="U16" s="32" t="str">
        <x:f>IF($A16="","",ROUND($J16*'Asumsi'!P$6,0))</x:f>
      </x:c>
      <x:c r="V16" s="32" t="str">
        <x:f>IF($A16="","",ROUND($J16*'Asumsi'!Q$6,0))</x:f>
      </x:c>
    </x:row>
    <x:row r="17" ht="15" hidden="0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31"/>
      <x:c r="K17" s="32" t="str">
        <x:f>IF($A17="","",ROUND($J17*'Asumsi'!F$6,0))</x:f>
      </x:c>
      <x:c r="L17" s="32" t="str">
        <x:f>IF($A17="","",ROUND($J17*'Asumsi'!G$6,0))</x:f>
      </x:c>
      <x:c r="M17" s="32" t="str">
        <x:f>IF($A17="","",ROUND($J17*'Asumsi'!H$6,0))</x:f>
      </x:c>
      <x:c r="N17" s="32" t="str">
        <x:f>IF($A17="","",ROUND($J17*'Asumsi'!I$6,0))</x:f>
      </x:c>
      <x:c r="O17" s="32" t="str">
        <x:f>IF($A17="","",ROUND($J17*'Asumsi'!J$6,0))</x:f>
      </x:c>
      <x:c r="P17" s="32" t="str">
        <x:f>IF($A17="","",ROUND($J17*'Asumsi'!K$6,0))</x:f>
      </x:c>
      <x:c r="Q17" s="32" t="str">
        <x:f>IF($A17="","",ROUND($J17*'Asumsi'!L$6,0))</x:f>
      </x:c>
      <x:c r="R17" s="32" t="str">
        <x:f>IF($A17="","",ROUND($J17*'Asumsi'!M$6,0))</x:f>
      </x:c>
      <x:c r="S17" s="32" t="str">
        <x:f>IF($A17="","",ROUND($J17*'Asumsi'!N$6,0))</x:f>
      </x:c>
      <x:c r="T17" s="32" t="str">
        <x:f>IF($A17="","",ROUND($J17*'Asumsi'!O$6,0))</x:f>
      </x:c>
      <x:c r="U17" s="32" t="str">
        <x:f>IF($A17="","",ROUND($J17*'Asumsi'!P$6,0))</x:f>
      </x:c>
      <x:c r="V17" s="32" t="str">
        <x:f>IF($A17="","",ROUND($J17*'Asumsi'!Q$6,0))</x:f>
      </x:c>
    </x:row>
    <x:row r="18" ht="15" hidden="0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31"/>
      <x:c r="K18" s="32" t="str">
        <x:f>IF($A18="","",ROUND($J18*'Asumsi'!F$6,0))</x:f>
      </x:c>
      <x:c r="L18" s="32" t="str">
        <x:f>IF($A18="","",ROUND($J18*'Asumsi'!G$6,0))</x:f>
      </x:c>
      <x:c r="M18" s="32" t="str">
        <x:f>IF($A18="","",ROUND($J18*'Asumsi'!H$6,0))</x:f>
      </x:c>
      <x:c r="N18" s="32" t="str">
        <x:f>IF($A18="","",ROUND($J18*'Asumsi'!I$6,0))</x:f>
      </x:c>
      <x:c r="O18" s="32" t="str">
        <x:f>IF($A18="","",ROUND($J18*'Asumsi'!J$6,0))</x:f>
      </x:c>
      <x:c r="P18" s="32" t="str">
        <x:f>IF($A18="","",ROUND($J18*'Asumsi'!K$6,0))</x:f>
      </x:c>
      <x:c r="Q18" s="32" t="str">
        <x:f>IF($A18="","",ROUND($J18*'Asumsi'!L$6,0))</x:f>
      </x:c>
      <x:c r="R18" s="32" t="str">
        <x:f>IF($A18="","",ROUND($J18*'Asumsi'!M$6,0))</x:f>
      </x:c>
      <x:c r="S18" s="32" t="str">
        <x:f>IF($A18="","",ROUND($J18*'Asumsi'!N$6,0))</x:f>
      </x:c>
      <x:c r="T18" s="32" t="str">
        <x:f>IF($A18="","",ROUND($J18*'Asumsi'!O$6,0))</x:f>
      </x:c>
      <x:c r="U18" s="32" t="str">
        <x:f>IF($A18="","",ROUND($J18*'Asumsi'!P$6,0))</x:f>
      </x:c>
      <x:c r="V18" s="32" t="str">
        <x:f>IF($A18="","",ROUND($J18*'Asumsi'!Q$6,0))</x:f>
      </x:c>
    </x:row>
    <x:row r="19" ht="15" hidden="0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31"/>
      <x:c r="K19" s="32" t="str">
        <x:f>IF($A19="","",ROUND($J19*'Asumsi'!F$6,0))</x:f>
      </x:c>
      <x:c r="L19" s="32" t="str">
        <x:f>IF($A19="","",ROUND($J19*'Asumsi'!G$6,0))</x:f>
      </x:c>
      <x:c r="M19" s="32" t="str">
        <x:f>IF($A19="","",ROUND($J19*'Asumsi'!H$6,0))</x:f>
      </x:c>
      <x:c r="N19" s="32" t="str">
        <x:f>IF($A19="","",ROUND($J19*'Asumsi'!I$6,0))</x:f>
      </x:c>
      <x:c r="O19" s="32" t="str">
        <x:f>IF($A19="","",ROUND($J19*'Asumsi'!J$6,0))</x:f>
      </x:c>
      <x:c r="P19" s="32" t="str">
        <x:f>IF($A19="","",ROUND($J19*'Asumsi'!K$6,0))</x:f>
      </x:c>
      <x:c r="Q19" s="32" t="str">
        <x:f>IF($A19="","",ROUND($J19*'Asumsi'!L$6,0))</x:f>
      </x:c>
      <x:c r="R19" s="32" t="str">
        <x:f>IF($A19="","",ROUND($J19*'Asumsi'!M$6,0))</x:f>
      </x:c>
      <x:c r="S19" s="32" t="str">
        <x:f>IF($A19="","",ROUND($J19*'Asumsi'!N$6,0))</x:f>
      </x:c>
      <x:c r="T19" s="32" t="str">
        <x:f>IF($A19="","",ROUND($J19*'Asumsi'!O$6,0))</x:f>
      </x:c>
      <x:c r="U19" s="32" t="str">
        <x:f>IF($A19="","",ROUND($J19*'Asumsi'!P$6,0))</x:f>
      </x:c>
      <x:c r="V19" s="32" t="str">
        <x:f>IF($A19="","",ROUND($J19*'Asumsi'!Q$6,0))</x:f>
      </x:c>
    </x:row>
    <x:row r="20" ht="15" hidden="0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31"/>
      <x:c r="K20" s="32" t="str">
        <x:f>IF($A20="","",ROUND($J20*'Asumsi'!F$6,0))</x:f>
      </x:c>
      <x:c r="L20" s="32" t="str">
        <x:f>IF($A20="","",ROUND($J20*'Asumsi'!G$6,0))</x:f>
      </x:c>
      <x:c r="M20" s="32" t="str">
        <x:f>IF($A20="","",ROUND($J20*'Asumsi'!H$6,0))</x:f>
      </x:c>
      <x:c r="N20" s="32" t="str">
        <x:f>IF($A20="","",ROUND($J20*'Asumsi'!I$6,0))</x:f>
      </x:c>
      <x:c r="O20" s="32" t="str">
        <x:f>IF($A20="","",ROUND($J20*'Asumsi'!J$6,0))</x:f>
      </x:c>
      <x:c r="P20" s="32" t="str">
        <x:f>IF($A20="","",ROUND($J20*'Asumsi'!K$6,0))</x:f>
      </x:c>
      <x:c r="Q20" s="32" t="str">
        <x:f>IF($A20="","",ROUND($J20*'Asumsi'!L$6,0))</x:f>
      </x:c>
      <x:c r="R20" s="32" t="str">
        <x:f>IF($A20="","",ROUND($J20*'Asumsi'!M$6,0))</x:f>
      </x:c>
      <x:c r="S20" s="32" t="str">
        <x:f>IF($A20="","",ROUND($J20*'Asumsi'!N$6,0))</x:f>
      </x:c>
      <x:c r="T20" s="32" t="str">
        <x:f>IF($A20="","",ROUND($J20*'Asumsi'!O$6,0))</x:f>
      </x:c>
      <x:c r="U20" s="32" t="str">
        <x:f>IF($A20="","",ROUND($J20*'Asumsi'!P$6,0))</x:f>
      </x:c>
      <x:c r="V20" s="32" t="str">
        <x:f>IF($A20="","",ROUND($J20*'Asumsi'!Q$6,0))</x:f>
      </x:c>
    </x:row>
    <x:row r="21" ht="15" hidden="0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31"/>
      <x:c r="K21" s="32" t="str">
        <x:f>IF($A21="","",ROUND($J21*'Asumsi'!F$6,0))</x:f>
      </x:c>
      <x:c r="L21" s="32" t="str">
        <x:f>IF($A21="","",ROUND($J21*'Asumsi'!G$6,0))</x:f>
      </x:c>
      <x:c r="M21" s="32" t="str">
        <x:f>IF($A21="","",ROUND($J21*'Asumsi'!H$6,0))</x:f>
      </x:c>
      <x:c r="N21" s="32" t="str">
        <x:f>IF($A21="","",ROUND($J21*'Asumsi'!I$6,0))</x:f>
      </x:c>
      <x:c r="O21" s="32" t="str">
        <x:f>IF($A21="","",ROUND($J21*'Asumsi'!J$6,0))</x:f>
      </x:c>
      <x:c r="P21" s="32" t="str">
        <x:f>IF($A21="","",ROUND($J21*'Asumsi'!K$6,0))</x:f>
      </x:c>
      <x:c r="Q21" s="32" t="str">
        <x:f>IF($A21="","",ROUND($J21*'Asumsi'!L$6,0))</x:f>
      </x:c>
      <x:c r="R21" s="32" t="str">
        <x:f>IF($A21="","",ROUND($J21*'Asumsi'!M$6,0))</x:f>
      </x:c>
      <x:c r="S21" s="32" t="str">
        <x:f>IF($A21="","",ROUND($J21*'Asumsi'!N$6,0))</x:f>
      </x:c>
      <x:c r="T21" s="32" t="str">
        <x:f>IF($A21="","",ROUND($J21*'Asumsi'!O$6,0))</x:f>
      </x:c>
      <x:c r="U21" s="32" t="str">
        <x:f>IF($A21="","",ROUND($J21*'Asumsi'!P$6,0))</x:f>
      </x:c>
      <x:c r="V21" s="32" t="str">
        <x:f>IF($A21="","",ROUND($J21*'Asumsi'!Q$6,0))</x:f>
      </x:c>
    </x:row>
    <x:row r="22" ht="15" hidden="0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31"/>
      <x:c r="K22" s="32" t="str">
        <x:f>IF($A22="","",ROUND($J22*'Asumsi'!F$6,0))</x:f>
      </x:c>
      <x:c r="L22" s="32" t="str">
        <x:f>IF($A22="","",ROUND($J22*'Asumsi'!G$6,0))</x:f>
      </x:c>
      <x:c r="M22" s="32" t="str">
        <x:f>IF($A22="","",ROUND($J22*'Asumsi'!H$6,0))</x:f>
      </x:c>
      <x:c r="N22" s="32" t="str">
        <x:f>IF($A22="","",ROUND($J22*'Asumsi'!I$6,0))</x:f>
      </x:c>
      <x:c r="O22" s="32" t="str">
        <x:f>IF($A22="","",ROUND($J22*'Asumsi'!J$6,0))</x:f>
      </x:c>
      <x:c r="P22" s="32" t="str">
        <x:f>IF($A22="","",ROUND($J22*'Asumsi'!K$6,0))</x:f>
      </x:c>
      <x:c r="Q22" s="32" t="str">
        <x:f>IF($A22="","",ROUND($J22*'Asumsi'!L$6,0))</x:f>
      </x:c>
      <x:c r="R22" s="32" t="str">
        <x:f>IF($A22="","",ROUND($J22*'Asumsi'!M$6,0))</x:f>
      </x:c>
      <x:c r="S22" s="32" t="str">
        <x:f>IF($A22="","",ROUND($J22*'Asumsi'!N$6,0))</x:f>
      </x:c>
      <x:c r="T22" s="32" t="str">
        <x:f>IF($A22="","",ROUND($J22*'Asumsi'!O$6,0))</x:f>
      </x:c>
      <x:c r="U22" s="32" t="str">
        <x:f>IF($A22="","",ROUND($J22*'Asumsi'!P$6,0))</x:f>
      </x:c>
      <x:c r="V22" s="32" t="str">
        <x:f>IF($A22="","",ROUND($J22*'Asumsi'!Q$6,0))</x:f>
      </x:c>
    </x:row>
    <x:row r="23" ht="15" hidden="0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31"/>
      <x:c r="K23" s="32" t="str">
        <x:f>IF($A23="","",ROUND($J23*'Asumsi'!F$6,0))</x:f>
      </x:c>
      <x:c r="L23" s="32" t="str">
        <x:f>IF($A23="","",ROUND($J23*'Asumsi'!G$6,0))</x:f>
      </x:c>
      <x:c r="M23" s="32" t="str">
        <x:f>IF($A23="","",ROUND($J23*'Asumsi'!H$6,0))</x:f>
      </x:c>
      <x:c r="N23" s="32" t="str">
        <x:f>IF($A23="","",ROUND($J23*'Asumsi'!I$6,0))</x:f>
      </x:c>
      <x:c r="O23" s="32" t="str">
        <x:f>IF($A23="","",ROUND($J23*'Asumsi'!J$6,0))</x:f>
      </x:c>
      <x:c r="P23" s="32" t="str">
        <x:f>IF($A23="","",ROUND($J23*'Asumsi'!K$6,0))</x:f>
      </x:c>
      <x:c r="Q23" s="32" t="str">
        <x:f>IF($A23="","",ROUND($J23*'Asumsi'!L$6,0))</x:f>
      </x:c>
      <x:c r="R23" s="32" t="str">
        <x:f>IF($A23="","",ROUND($J23*'Asumsi'!M$6,0))</x:f>
      </x:c>
      <x:c r="S23" s="32" t="str">
        <x:f>IF($A23="","",ROUND($J23*'Asumsi'!N$6,0))</x:f>
      </x:c>
      <x:c r="T23" s="32" t="str">
        <x:f>IF($A23="","",ROUND($J23*'Asumsi'!O$6,0))</x:f>
      </x:c>
      <x:c r="U23" s="32" t="str">
        <x:f>IF($A23="","",ROUND($J23*'Asumsi'!P$6,0))</x:f>
      </x:c>
      <x:c r="V23" s="32" t="str">
        <x:f>IF($A23="","",ROUND($J23*'Asumsi'!Q$6,0))</x:f>
      </x:c>
    </x:row>
    <x:row r="24" ht="15" hidden="0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31"/>
      <x:c r="K24" s="32" t="str">
        <x:f>IF($A24="","",ROUND($J24*'Asumsi'!F$6,0))</x:f>
      </x:c>
      <x:c r="L24" s="32" t="str">
        <x:f>IF($A24="","",ROUND($J24*'Asumsi'!G$6,0))</x:f>
      </x:c>
      <x:c r="M24" s="32" t="str">
        <x:f>IF($A24="","",ROUND($J24*'Asumsi'!H$6,0))</x:f>
      </x:c>
      <x:c r="N24" s="32" t="str">
        <x:f>IF($A24="","",ROUND($J24*'Asumsi'!I$6,0))</x:f>
      </x:c>
      <x:c r="O24" s="32" t="str">
        <x:f>IF($A24="","",ROUND($J24*'Asumsi'!J$6,0))</x:f>
      </x:c>
      <x:c r="P24" s="32" t="str">
        <x:f>IF($A24="","",ROUND($J24*'Asumsi'!K$6,0))</x:f>
      </x:c>
      <x:c r="Q24" s="32" t="str">
        <x:f>IF($A24="","",ROUND($J24*'Asumsi'!L$6,0))</x:f>
      </x:c>
      <x:c r="R24" s="32" t="str">
        <x:f>IF($A24="","",ROUND($J24*'Asumsi'!M$6,0))</x:f>
      </x:c>
      <x:c r="S24" s="32" t="str">
        <x:f>IF($A24="","",ROUND($J24*'Asumsi'!N$6,0))</x:f>
      </x:c>
      <x:c r="T24" s="32" t="str">
        <x:f>IF($A24="","",ROUND($J24*'Asumsi'!O$6,0))</x:f>
      </x:c>
      <x:c r="U24" s="32" t="str">
        <x:f>IF($A24="","",ROUND($J24*'Asumsi'!P$6,0))</x:f>
      </x:c>
      <x:c r="V24" s="32" t="str">
        <x:f>IF($A24="","",ROUND($J24*'Asumsi'!Q$6,0))</x:f>
      </x:c>
    </x:row>
    <x:row r="25" ht="15" hidden="0" customHeight="1">
      <x:c r="A25" s="16"/>
      <x:c r="B25" s="16"/>
      <x:c r="C25" s="16"/>
      <x:c r="D25" s="16"/>
      <x:c r="E25" s="16"/>
      <x:c r="F25" s="16"/>
      <x:c r="G25" s="16"/>
      <x:c r="H25" s="16"/>
      <x:c r="I25" s="16"/>
      <x:c r="J25" s="31"/>
      <x:c r="K25" s="32" t="str">
        <x:f>IF($A25="","",ROUND($J25*'Asumsi'!F$6,0))</x:f>
      </x:c>
      <x:c r="L25" s="32" t="str">
        <x:f>IF($A25="","",ROUND($J25*'Asumsi'!G$6,0))</x:f>
      </x:c>
      <x:c r="M25" s="32" t="str">
        <x:f>IF($A25="","",ROUND($J25*'Asumsi'!H$6,0))</x:f>
      </x:c>
      <x:c r="N25" s="32" t="str">
        <x:f>IF($A25="","",ROUND($J25*'Asumsi'!I$6,0))</x:f>
      </x:c>
      <x:c r="O25" s="32" t="str">
        <x:f>IF($A25="","",ROUND($J25*'Asumsi'!J$6,0))</x:f>
      </x:c>
      <x:c r="P25" s="32" t="str">
        <x:f>IF($A25="","",ROUND($J25*'Asumsi'!K$6,0))</x:f>
      </x:c>
      <x:c r="Q25" s="32" t="str">
        <x:f>IF($A25="","",ROUND($J25*'Asumsi'!L$6,0))</x:f>
      </x:c>
      <x:c r="R25" s="32" t="str">
        <x:f>IF($A25="","",ROUND($J25*'Asumsi'!M$6,0))</x:f>
      </x:c>
      <x:c r="S25" s="32" t="str">
        <x:f>IF($A25="","",ROUND($J25*'Asumsi'!N$6,0))</x:f>
      </x:c>
      <x:c r="T25" s="32" t="str">
        <x:f>IF($A25="","",ROUND($J25*'Asumsi'!O$6,0))</x:f>
      </x:c>
      <x:c r="U25" s="32" t="str">
        <x:f>IF($A25="","",ROUND($J25*'Asumsi'!P$6,0))</x:f>
      </x:c>
      <x:c r="V25" s="32" t="str">
        <x:f>IF($A25="","",ROUND($J25*'Asumsi'!Q$6,0))</x:f>
      </x:c>
    </x:row>
    <x:row r="26" ht="15" hidden="0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31"/>
      <x:c r="K26" s="32" t="str">
        <x:f>IF($A26="","",ROUND($J26*'Asumsi'!F$6,0))</x:f>
      </x:c>
      <x:c r="L26" s="32" t="str">
        <x:f>IF($A26="","",ROUND($J26*'Asumsi'!G$6,0))</x:f>
      </x:c>
      <x:c r="M26" s="32" t="str">
        <x:f>IF($A26="","",ROUND($J26*'Asumsi'!H$6,0))</x:f>
      </x:c>
      <x:c r="N26" s="32" t="str">
        <x:f>IF($A26="","",ROUND($J26*'Asumsi'!I$6,0))</x:f>
      </x:c>
      <x:c r="O26" s="32" t="str">
        <x:f>IF($A26="","",ROUND($J26*'Asumsi'!J$6,0))</x:f>
      </x:c>
      <x:c r="P26" s="32" t="str">
        <x:f>IF($A26="","",ROUND($J26*'Asumsi'!K$6,0))</x:f>
      </x:c>
      <x:c r="Q26" s="32" t="str">
        <x:f>IF($A26="","",ROUND($J26*'Asumsi'!L$6,0))</x:f>
      </x:c>
      <x:c r="R26" s="32" t="str">
        <x:f>IF($A26="","",ROUND($J26*'Asumsi'!M$6,0))</x:f>
      </x:c>
      <x:c r="S26" s="32" t="str">
        <x:f>IF($A26="","",ROUND($J26*'Asumsi'!N$6,0))</x:f>
      </x:c>
      <x:c r="T26" s="32" t="str">
        <x:f>IF($A26="","",ROUND($J26*'Asumsi'!O$6,0))</x:f>
      </x:c>
      <x:c r="U26" s="32" t="str">
        <x:f>IF($A26="","",ROUND($J26*'Asumsi'!P$6,0))</x:f>
      </x:c>
      <x:c r="V26" s="32" t="str">
        <x:f>IF($A26="","",ROUND($J26*'Asumsi'!Q$6,0))</x:f>
      </x:c>
    </x:row>
    <x:row r="27" ht="15" hidden="0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31"/>
      <x:c r="K27" s="32" t="str">
        <x:f>IF($A27="","",ROUND($J27*'Asumsi'!F$6,0))</x:f>
      </x:c>
      <x:c r="L27" s="32" t="str">
        <x:f>IF($A27="","",ROUND($J27*'Asumsi'!G$6,0))</x:f>
      </x:c>
      <x:c r="M27" s="32" t="str">
        <x:f>IF($A27="","",ROUND($J27*'Asumsi'!H$6,0))</x:f>
      </x:c>
      <x:c r="N27" s="32" t="str">
        <x:f>IF($A27="","",ROUND($J27*'Asumsi'!I$6,0))</x:f>
      </x:c>
      <x:c r="O27" s="32" t="str">
        <x:f>IF($A27="","",ROUND($J27*'Asumsi'!J$6,0))</x:f>
      </x:c>
      <x:c r="P27" s="32" t="str">
        <x:f>IF($A27="","",ROUND($J27*'Asumsi'!K$6,0))</x:f>
      </x:c>
      <x:c r="Q27" s="32" t="str">
        <x:f>IF($A27="","",ROUND($J27*'Asumsi'!L$6,0))</x:f>
      </x:c>
      <x:c r="R27" s="32" t="str">
        <x:f>IF($A27="","",ROUND($J27*'Asumsi'!M$6,0))</x:f>
      </x:c>
      <x:c r="S27" s="32" t="str">
        <x:f>IF($A27="","",ROUND($J27*'Asumsi'!N$6,0))</x:f>
      </x:c>
      <x:c r="T27" s="32" t="str">
        <x:f>IF($A27="","",ROUND($J27*'Asumsi'!O$6,0))</x:f>
      </x:c>
      <x:c r="U27" s="32" t="str">
        <x:f>IF($A27="","",ROUND($J27*'Asumsi'!P$6,0))</x:f>
      </x:c>
      <x:c r="V27" s="32" t="str">
        <x:f>IF($A27="","",ROUND($J27*'Asumsi'!Q$6,0))</x:f>
      </x:c>
    </x:row>
    <x:row r="28" ht="15" hidden="0" customHeight="1">
      <x:c r="A28" s="16"/>
      <x:c r="B28" s="16"/>
      <x:c r="C28" s="16"/>
      <x:c r="D28" s="16"/>
      <x:c r="E28" s="16"/>
      <x:c r="F28" s="16"/>
      <x:c r="G28" s="16"/>
      <x:c r="H28" s="16"/>
      <x:c r="I28" s="16"/>
      <x:c r="J28" s="31"/>
      <x:c r="K28" s="32" t="str">
        <x:f>IF($A28="","",ROUND($J28*'Asumsi'!F$6,0))</x:f>
      </x:c>
      <x:c r="L28" s="32" t="str">
        <x:f>IF($A28="","",ROUND($J28*'Asumsi'!G$6,0))</x:f>
      </x:c>
      <x:c r="M28" s="32" t="str">
        <x:f>IF($A28="","",ROUND($J28*'Asumsi'!H$6,0))</x:f>
      </x:c>
      <x:c r="N28" s="32" t="str">
        <x:f>IF($A28="","",ROUND($J28*'Asumsi'!I$6,0))</x:f>
      </x:c>
      <x:c r="O28" s="32" t="str">
        <x:f>IF($A28="","",ROUND($J28*'Asumsi'!J$6,0))</x:f>
      </x:c>
      <x:c r="P28" s="32" t="str">
        <x:f>IF($A28="","",ROUND($J28*'Asumsi'!K$6,0))</x:f>
      </x:c>
      <x:c r="Q28" s="32" t="str">
        <x:f>IF($A28="","",ROUND($J28*'Asumsi'!L$6,0))</x:f>
      </x:c>
      <x:c r="R28" s="32" t="str">
        <x:f>IF($A28="","",ROUND($J28*'Asumsi'!M$6,0))</x:f>
      </x:c>
      <x:c r="S28" s="32" t="str">
        <x:f>IF($A28="","",ROUND($J28*'Asumsi'!N$6,0))</x:f>
      </x:c>
      <x:c r="T28" s="32" t="str">
        <x:f>IF($A28="","",ROUND($J28*'Asumsi'!O$6,0))</x:f>
      </x:c>
      <x:c r="U28" s="32" t="str">
        <x:f>IF($A28="","",ROUND($J28*'Asumsi'!P$6,0))</x:f>
      </x:c>
      <x:c r="V28" s="32" t="str">
        <x:f>IF($A28="","",ROUND($J28*'Asumsi'!Q$6,0))</x:f>
      </x:c>
    </x:row>
    <x:row r="29" ht="15" hidden="0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31"/>
      <x:c r="K29" s="32" t="str">
        <x:f>IF($A29="","",ROUND($J29*'Asumsi'!F$6,0))</x:f>
      </x:c>
      <x:c r="L29" s="32" t="str">
        <x:f>IF($A29="","",ROUND($J29*'Asumsi'!G$6,0))</x:f>
      </x:c>
      <x:c r="M29" s="32" t="str">
        <x:f>IF($A29="","",ROUND($J29*'Asumsi'!H$6,0))</x:f>
      </x:c>
      <x:c r="N29" s="32" t="str">
        <x:f>IF($A29="","",ROUND($J29*'Asumsi'!I$6,0))</x:f>
      </x:c>
      <x:c r="O29" s="32" t="str">
        <x:f>IF($A29="","",ROUND($J29*'Asumsi'!J$6,0))</x:f>
      </x:c>
      <x:c r="P29" s="32" t="str">
        <x:f>IF($A29="","",ROUND($J29*'Asumsi'!K$6,0))</x:f>
      </x:c>
      <x:c r="Q29" s="32" t="str">
        <x:f>IF($A29="","",ROUND($J29*'Asumsi'!L$6,0))</x:f>
      </x:c>
      <x:c r="R29" s="32" t="str">
        <x:f>IF($A29="","",ROUND($J29*'Asumsi'!M$6,0))</x:f>
      </x:c>
      <x:c r="S29" s="32" t="str">
        <x:f>IF($A29="","",ROUND($J29*'Asumsi'!N$6,0))</x:f>
      </x:c>
      <x:c r="T29" s="32" t="str">
        <x:f>IF($A29="","",ROUND($J29*'Asumsi'!O$6,0))</x:f>
      </x:c>
      <x:c r="U29" s="32" t="str">
        <x:f>IF($A29="","",ROUND($J29*'Asumsi'!P$6,0))</x:f>
      </x:c>
      <x:c r="V29" s="32" t="str">
        <x:f>IF($A29="","",ROUND($J29*'Asumsi'!Q$6,0))</x:f>
      </x:c>
    </x:row>
    <x:row r="30" ht="15" hidden="0" customHeight="1">
      <x:c r="A30" s="16"/>
      <x:c r="B30" s="16"/>
      <x:c r="C30" s="16"/>
      <x:c r="D30" s="16"/>
      <x:c r="E30" s="16"/>
      <x:c r="F30" s="16"/>
      <x:c r="G30" s="16"/>
      <x:c r="H30" s="16"/>
      <x:c r="I30" s="16"/>
      <x:c r="J30" s="31"/>
      <x:c r="K30" s="32" t="str">
        <x:f>IF($A30="","",ROUND($J30*'Asumsi'!F$6,0))</x:f>
      </x:c>
      <x:c r="L30" s="32" t="str">
        <x:f>IF($A30="","",ROUND($J30*'Asumsi'!G$6,0))</x:f>
      </x:c>
      <x:c r="M30" s="32" t="str">
        <x:f>IF($A30="","",ROUND($J30*'Asumsi'!H$6,0))</x:f>
      </x:c>
      <x:c r="N30" s="32" t="str">
        <x:f>IF($A30="","",ROUND($J30*'Asumsi'!I$6,0))</x:f>
      </x:c>
      <x:c r="O30" s="32" t="str">
        <x:f>IF($A30="","",ROUND($J30*'Asumsi'!J$6,0))</x:f>
      </x:c>
      <x:c r="P30" s="32" t="str">
        <x:f>IF($A30="","",ROUND($J30*'Asumsi'!K$6,0))</x:f>
      </x:c>
      <x:c r="Q30" s="32" t="str">
        <x:f>IF($A30="","",ROUND($J30*'Asumsi'!L$6,0))</x:f>
      </x:c>
      <x:c r="R30" s="32" t="str">
        <x:f>IF($A30="","",ROUND($J30*'Asumsi'!M$6,0))</x:f>
      </x:c>
      <x:c r="S30" s="32" t="str">
        <x:f>IF($A30="","",ROUND($J30*'Asumsi'!N$6,0))</x:f>
      </x:c>
      <x:c r="T30" s="32" t="str">
        <x:f>IF($A30="","",ROUND($J30*'Asumsi'!O$6,0))</x:f>
      </x:c>
      <x:c r="U30" s="32" t="str">
        <x:f>IF($A30="","",ROUND($J30*'Asumsi'!P$6,0))</x:f>
      </x:c>
      <x:c r="V30" s="32" t="str">
        <x:f>IF($A30="","",ROUND($J30*'Asumsi'!Q$6,0))</x:f>
      </x:c>
    </x:row>
    <x:row r="31" ht="15" hidden="0" customHeight="1">
      <x:c r="A31" s="16"/>
      <x:c r="B31" s="16"/>
      <x:c r="C31" s="16"/>
      <x:c r="D31" s="16"/>
      <x:c r="E31" s="16"/>
      <x:c r="F31" s="16"/>
      <x:c r="G31" s="16"/>
      <x:c r="H31" s="16"/>
      <x:c r="I31" s="16"/>
      <x:c r="J31" s="31"/>
      <x:c r="K31" s="32" t="str">
        <x:f>IF($A31="","",ROUND($J31*'Asumsi'!F$6,0))</x:f>
      </x:c>
      <x:c r="L31" s="32" t="str">
        <x:f>IF($A31="","",ROUND($J31*'Asumsi'!G$6,0))</x:f>
      </x:c>
      <x:c r="M31" s="32" t="str">
        <x:f>IF($A31="","",ROUND($J31*'Asumsi'!H$6,0))</x:f>
      </x:c>
      <x:c r="N31" s="32" t="str">
        <x:f>IF($A31="","",ROUND($J31*'Asumsi'!I$6,0))</x:f>
      </x:c>
      <x:c r="O31" s="32" t="str">
        <x:f>IF($A31="","",ROUND($J31*'Asumsi'!J$6,0))</x:f>
      </x:c>
      <x:c r="P31" s="32" t="str">
        <x:f>IF($A31="","",ROUND($J31*'Asumsi'!K$6,0))</x:f>
      </x:c>
      <x:c r="Q31" s="32" t="str">
        <x:f>IF($A31="","",ROUND($J31*'Asumsi'!L$6,0))</x:f>
      </x:c>
      <x:c r="R31" s="32" t="str">
        <x:f>IF($A31="","",ROUND($J31*'Asumsi'!M$6,0))</x:f>
      </x:c>
      <x:c r="S31" s="32" t="str">
        <x:f>IF($A31="","",ROUND($J31*'Asumsi'!N$6,0))</x:f>
      </x:c>
      <x:c r="T31" s="32" t="str">
        <x:f>IF($A31="","",ROUND($J31*'Asumsi'!O$6,0))</x:f>
      </x:c>
      <x:c r="U31" s="32" t="str">
        <x:f>IF($A31="","",ROUND($J31*'Asumsi'!P$6,0))</x:f>
      </x:c>
      <x:c r="V31" s="32" t="str">
        <x:f>IF($A31="","",ROUND($J31*'Asumsi'!Q$6,0))</x:f>
      </x:c>
    </x:row>
    <x:row r="32" ht="15" hidden="0" customHeight="1">
      <x:c r="A32" s="16"/>
      <x:c r="B32" s="16"/>
      <x:c r="C32" s="16"/>
      <x:c r="D32" s="16"/>
      <x:c r="E32" s="16"/>
      <x:c r="F32" s="16"/>
      <x:c r="G32" s="16"/>
      <x:c r="H32" s="16"/>
      <x:c r="I32" s="16"/>
      <x:c r="J32" s="31"/>
      <x:c r="K32" s="32" t="str">
        <x:f>IF($A32="","",ROUND($J32*'Asumsi'!F$6,0))</x:f>
      </x:c>
      <x:c r="L32" s="32" t="str">
        <x:f>IF($A32="","",ROUND($J32*'Asumsi'!G$6,0))</x:f>
      </x:c>
      <x:c r="M32" s="32" t="str">
        <x:f>IF($A32="","",ROUND($J32*'Asumsi'!H$6,0))</x:f>
      </x:c>
      <x:c r="N32" s="32" t="str">
        <x:f>IF($A32="","",ROUND($J32*'Asumsi'!I$6,0))</x:f>
      </x:c>
      <x:c r="O32" s="32" t="str">
        <x:f>IF($A32="","",ROUND($J32*'Asumsi'!J$6,0))</x:f>
      </x:c>
      <x:c r="P32" s="32" t="str">
        <x:f>IF($A32="","",ROUND($J32*'Asumsi'!K$6,0))</x:f>
      </x:c>
      <x:c r="Q32" s="32" t="str">
        <x:f>IF($A32="","",ROUND($J32*'Asumsi'!L$6,0))</x:f>
      </x:c>
      <x:c r="R32" s="32" t="str">
        <x:f>IF($A32="","",ROUND($J32*'Asumsi'!M$6,0))</x:f>
      </x:c>
      <x:c r="S32" s="32" t="str">
        <x:f>IF($A32="","",ROUND($J32*'Asumsi'!N$6,0))</x:f>
      </x:c>
      <x:c r="T32" s="32" t="str">
        <x:f>IF($A32="","",ROUND($J32*'Asumsi'!O$6,0))</x:f>
      </x:c>
      <x:c r="U32" s="32" t="str">
        <x:f>IF($A32="","",ROUND($J32*'Asumsi'!P$6,0))</x:f>
      </x:c>
      <x:c r="V32" s="32" t="str">
        <x:f>IF($A32="","",ROUND($J32*'Asumsi'!Q$6,0))</x:f>
      </x:c>
    </x:row>
    <x:row r="33" ht="15" hidden="0" customHeight="1">
      <x:c r="A33" s="16"/>
      <x:c r="B33" s="16"/>
      <x:c r="C33" s="16"/>
      <x:c r="D33" s="16"/>
      <x:c r="E33" s="16"/>
      <x:c r="F33" s="16"/>
      <x:c r="G33" s="16"/>
      <x:c r="H33" s="16"/>
      <x:c r="I33" s="16"/>
      <x:c r="J33" s="31"/>
      <x:c r="K33" s="32" t="str">
        <x:f>IF($A33="","",ROUND($J33*'Asumsi'!F$6,0))</x:f>
      </x:c>
      <x:c r="L33" s="32" t="str">
        <x:f>IF($A33="","",ROUND($J33*'Asumsi'!G$6,0))</x:f>
      </x:c>
      <x:c r="M33" s="32" t="str">
        <x:f>IF($A33="","",ROUND($J33*'Asumsi'!H$6,0))</x:f>
      </x:c>
      <x:c r="N33" s="32" t="str">
        <x:f>IF($A33="","",ROUND($J33*'Asumsi'!I$6,0))</x:f>
      </x:c>
      <x:c r="O33" s="32" t="str">
        <x:f>IF($A33="","",ROUND($J33*'Asumsi'!J$6,0))</x:f>
      </x:c>
      <x:c r="P33" s="32" t="str">
        <x:f>IF($A33="","",ROUND($J33*'Asumsi'!K$6,0))</x:f>
      </x:c>
      <x:c r="Q33" s="32" t="str">
        <x:f>IF($A33="","",ROUND($J33*'Asumsi'!L$6,0))</x:f>
      </x:c>
      <x:c r="R33" s="32" t="str">
        <x:f>IF($A33="","",ROUND($J33*'Asumsi'!M$6,0))</x:f>
      </x:c>
      <x:c r="S33" s="32" t="str">
        <x:f>IF($A33="","",ROUND($J33*'Asumsi'!N$6,0))</x:f>
      </x:c>
      <x:c r="T33" s="32" t="str">
        <x:f>IF($A33="","",ROUND($J33*'Asumsi'!O$6,0))</x:f>
      </x:c>
      <x:c r="U33" s="32" t="str">
        <x:f>IF($A33="","",ROUND($J33*'Asumsi'!P$6,0))</x:f>
      </x:c>
      <x:c r="V33" s="32" t="str">
        <x:f>IF($A33="","",ROUND($J33*'Asumsi'!Q$6,0))</x:f>
      </x:c>
    </x:row>
    <x:row r="34" ht="15" hidden="0" customHeight="1">
      <x:c r="A34" s="16"/>
      <x:c r="B34" s="16"/>
      <x:c r="C34" s="16"/>
      <x:c r="D34" s="16"/>
      <x:c r="E34" s="16"/>
      <x:c r="F34" s="16"/>
      <x:c r="G34" s="16"/>
      <x:c r="H34" s="16"/>
      <x:c r="I34" s="16"/>
      <x:c r="J34" s="31"/>
      <x:c r="K34" s="32" t="str">
        <x:f>IF($A34="","",ROUND($J34*'Asumsi'!F$6,0))</x:f>
      </x:c>
      <x:c r="L34" s="32" t="str">
        <x:f>IF($A34="","",ROUND($J34*'Asumsi'!G$6,0))</x:f>
      </x:c>
      <x:c r="M34" s="32" t="str">
        <x:f>IF($A34="","",ROUND($J34*'Asumsi'!H$6,0))</x:f>
      </x:c>
      <x:c r="N34" s="32" t="str">
        <x:f>IF($A34="","",ROUND($J34*'Asumsi'!I$6,0))</x:f>
      </x:c>
      <x:c r="O34" s="32" t="str">
        <x:f>IF($A34="","",ROUND($J34*'Asumsi'!J$6,0))</x:f>
      </x:c>
      <x:c r="P34" s="32" t="str">
        <x:f>IF($A34="","",ROUND($J34*'Asumsi'!K$6,0))</x:f>
      </x:c>
      <x:c r="Q34" s="32" t="str">
        <x:f>IF($A34="","",ROUND($J34*'Asumsi'!L$6,0))</x:f>
      </x:c>
      <x:c r="R34" s="32" t="str">
        <x:f>IF($A34="","",ROUND($J34*'Asumsi'!M$6,0))</x:f>
      </x:c>
      <x:c r="S34" s="32" t="str">
        <x:f>IF($A34="","",ROUND($J34*'Asumsi'!N$6,0))</x:f>
      </x:c>
      <x:c r="T34" s="32" t="str">
        <x:f>IF($A34="","",ROUND($J34*'Asumsi'!O$6,0))</x:f>
      </x:c>
      <x:c r="U34" s="32" t="str">
        <x:f>IF($A34="","",ROUND($J34*'Asumsi'!P$6,0))</x:f>
      </x:c>
      <x:c r="V34" s="32" t="str">
        <x:f>IF($A34="","",ROUND($J34*'Asumsi'!Q$6,0))</x:f>
      </x:c>
    </x:row>
    <x:row r="35" ht="15" hidden="0" customHeight="1">
      <x:c r="A35" s="16"/>
      <x:c r="B35" s="16"/>
      <x:c r="C35" s="16"/>
      <x:c r="D35" s="16"/>
      <x:c r="E35" s="16"/>
      <x:c r="F35" s="16"/>
      <x:c r="G35" s="16"/>
      <x:c r="H35" s="16"/>
      <x:c r="I35" s="16"/>
      <x:c r="J35" s="31"/>
      <x:c r="K35" s="32" t="str">
        <x:f>IF($A35="","",ROUND($J35*'Asumsi'!F$6,0))</x:f>
      </x:c>
      <x:c r="L35" s="32" t="str">
        <x:f>IF($A35="","",ROUND($J35*'Asumsi'!G$6,0))</x:f>
      </x:c>
      <x:c r="M35" s="32" t="str">
        <x:f>IF($A35="","",ROUND($J35*'Asumsi'!H$6,0))</x:f>
      </x:c>
      <x:c r="N35" s="32" t="str">
        <x:f>IF($A35="","",ROUND($J35*'Asumsi'!I$6,0))</x:f>
      </x:c>
      <x:c r="O35" s="32" t="str">
        <x:f>IF($A35="","",ROUND($J35*'Asumsi'!J$6,0))</x:f>
      </x:c>
      <x:c r="P35" s="32" t="str">
        <x:f>IF($A35="","",ROUND($J35*'Asumsi'!K$6,0))</x:f>
      </x:c>
      <x:c r="Q35" s="32" t="str">
        <x:f>IF($A35="","",ROUND($J35*'Asumsi'!L$6,0))</x:f>
      </x:c>
      <x:c r="R35" s="32" t="str">
        <x:f>IF($A35="","",ROUND($J35*'Asumsi'!M$6,0))</x:f>
      </x:c>
      <x:c r="S35" s="32" t="str">
        <x:f>IF($A35="","",ROUND($J35*'Asumsi'!N$6,0))</x:f>
      </x:c>
      <x:c r="T35" s="32" t="str">
        <x:f>IF($A35="","",ROUND($J35*'Asumsi'!O$6,0))</x:f>
      </x:c>
      <x:c r="U35" s="32" t="str">
        <x:f>IF($A35="","",ROUND($J35*'Asumsi'!P$6,0))</x:f>
      </x:c>
      <x:c r="V35" s="32" t="str">
        <x:f>IF($A35="","",ROUND($J35*'Asumsi'!Q$6,0))</x:f>
      </x:c>
    </x:row>
    <x:row r="36" ht="15" hidden="0" customHeight="1">
      <x:c r="A36" s="16"/>
      <x:c r="B36" s="16"/>
      <x:c r="C36" s="16"/>
      <x:c r="D36" s="16"/>
      <x:c r="E36" s="16"/>
      <x:c r="F36" s="16"/>
      <x:c r="G36" s="16"/>
      <x:c r="H36" s="16"/>
      <x:c r="I36" s="16"/>
      <x:c r="J36" s="31"/>
      <x:c r="K36" s="32" t="str">
        <x:f>IF($A36="","",ROUND($J36*'Asumsi'!F$6,0))</x:f>
      </x:c>
      <x:c r="L36" s="32" t="str">
        <x:f>IF($A36="","",ROUND($J36*'Asumsi'!G$6,0))</x:f>
      </x:c>
      <x:c r="M36" s="32" t="str">
        <x:f>IF($A36="","",ROUND($J36*'Asumsi'!H$6,0))</x:f>
      </x:c>
      <x:c r="N36" s="32" t="str">
        <x:f>IF($A36="","",ROUND($J36*'Asumsi'!I$6,0))</x:f>
      </x:c>
      <x:c r="O36" s="32" t="str">
        <x:f>IF($A36="","",ROUND($J36*'Asumsi'!J$6,0))</x:f>
      </x:c>
      <x:c r="P36" s="32" t="str">
        <x:f>IF($A36="","",ROUND($J36*'Asumsi'!K$6,0))</x:f>
      </x:c>
      <x:c r="Q36" s="32" t="str">
        <x:f>IF($A36="","",ROUND($J36*'Asumsi'!L$6,0))</x:f>
      </x:c>
      <x:c r="R36" s="32" t="str">
        <x:f>IF($A36="","",ROUND($J36*'Asumsi'!M$6,0))</x:f>
      </x:c>
      <x:c r="S36" s="32" t="str">
        <x:f>IF($A36="","",ROUND($J36*'Asumsi'!N$6,0))</x:f>
      </x:c>
      <x:c r="T36" s="32" t="str">
        <x:f>IF($A36="","",ROUND($J36*'Asumsi'!O$6,0))</x:f>
      </x:c>
      <x:c r="U36" s="32" t="str">
        <x:f>IF($A36="","",ROUND($J36*'Asumsi'!P$6,0))</x:f>
      </x:c>
      <x:c r="V36" s="32" t="str">
        <x:f>IF($A36="","",ROUND($J36*'Asumsi'!Q$6,0))</x:f>
      </x:c>
    </x:row>
  </x:sheetData>
  <x:mergeCells>
    <x:mergeCell ref="A1:V1"/>
    <x:mergeCell ref="A2:P2"/>
    <x:mergeCell ref="A4:V4"/>
  </x:mergeCells>
  <x:dataValidations count="2">
    <x:dataValidation type="list" sqref="F7:F36">
      <x:formula1>"CapEx,OpEx"</x:formula1>
    </x:dataValidation>
    <x:dataValidation type="list" sqref="G7:G36">
      <x:formula1>"Run,Change,Transform"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6a7778f5ec49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8" hidden="0" customWidth="1"/>
    <x:col min="4" max="4" width="15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36" hidden="0" customWidth="1"/>
  </x:cols>
  <x:sheetData>
    <x:row r="1" ht="19.200000762939453" hidden="0" customHeight="1">
      <x:c r="A1" s="4" t="str">
        <x:v>Anggaran TI — Kontrol Bulanan, Forecast &amp; Manajemen Pengecualian</x:v>
      </x:c>
      <x:c r="B1" s="4" t="str">
        <x:v>Anggaran TI — Kontrol Bulanan, Forecast &amp; Manajemen Pengecualian</x:v>
      </x:c>
      <x:c r="C1" s="4" t="str">
        <x:v>Anggaran TI — Kontrol Bulanan, Forecast &amp; Manajemen Pengecualian</x:v>
      </x:c>
      <x:c r="D1" s="4" t="str">
        <x:v>Anggaran TI — Kontrol Bulanan, Forecast &amp; Manajemen Pengecualian</x:v>
      </x:c>
      <x:c r="E1" s="4" t="str">
        <x:v>Anggaran TI — Kontrol Bulanan, Forecast &amp; Manajemen Pengecualian</x:v>
      </x:c>
      <x:c r="F1" s="4" t="str">
        <x:v>Anggaran TI — Kontrol Bulanan, Forecast &amp; Manajemen Pengecualian</x:v>
      </x:c>
      <x:c r="G1" s="4" t="str">
        <x:v>Anggaran TI — Kontrol Bulanan, Forecast &amp; Manajemen Pengecualian</x:v>
      </x:c>
      <x:c r="H1" s="4" t="str">
        <x:v>Anggaran TI — Kontrol Bulanan, Forecast &amp; Manajemen Pengecualian</x:v>
      </x:c>
      <x:c r="I1" s="4" t="str">
        <x:v>Anggaran TI — Kontrol Bulanan, Forecast &amp; Manajemen Pengecualian</x:v>
      </x:c>
      <x:c r="J1" s="4" t="str">
        <x:v>Anggaran TI — Kontrol Bulanan, Forecast &amp; Manajemen Pengecualian</x:v>
      </x:c>
      <x:c r="K1" s="4" t="str">
        <x:v>Anggaran TI — Kontrol Bulanan, Forecast &amp; Manajemen Pengecualian</x:v>
      </x:c>
      <x:c r="L1" s="4" t="str">
        <x:v>Anggaran TI — Kontrol Bulanan, Forecast &amp; Manajemen Pengecualian</x:v>
      </x:c>
      <x:c r="M1" s="4" t="str">
        <x:v>Anggaran TI — Kontrol Bulanan, Forecast &amp; Manajemen Pengecualian</x:v>
      </x:c>
      <x:c r="N1" s="4" t="str">
        <x:v>Anggaran TI — Kontrol Bulanan, Forecast &amp; Manajemen Pengecualian</x:v>
      </x:c>
      <x:c r="O1" s="4" t="str">
        <x:v>Anggaran TI — Kontrol Bulanan, Forecast &amp; Manajemen Pengecualian</x:v>
      </x:c>
      <x:c r="P1" s="4" t="str">
        <x:v>Anggaran TI — Kontrol Bulanan, Forecast &amp; Manajemen Pengecualian</x:v>
      </x:c>
      <x:c r="Q1" s="4" t="str">
        <x:v>Anggaran TI — Kontrol Bulanan, Forecast &amp; Manajemen Pengecualian</x:v>
      </x:c>
      <x:c r="R1" s="4" t="str">
        <x:v>Anggaran TI — Kontrol Bulanan, Forecast &amp; Manajemen Pengecualian</x:v>
      </x:c>
      <x:c r="S1" s="4" t="str">
        <x:v>Anggaran TI — Kontrol Bulanan, Forecast &amp; Manajemen Pengecualian</x:v>
      </x:c>
      <x:c r="T1" s="4" t="str">
        <x:v>Anggaran TI — Kontrol Bulanan, Forecast &amp; Manajemen Pengecualian</x:v>
      </x:c>
      <x:c r="U1" s="4" t="str">
        <x:v>Anggaran TI — Kontrol Bulanan, Forecast &amp; Manajemen Pengecualian</x:v>
      </x:c>
      <x:c r="V1" s="4" t="str">
        <x:v>Anggaran TI — Kontrol Bulanan, Forecast &amp; Manajemen Pengecualian</x:v>
      </x:c>
      <x:c r="W1" s="4" t="str">
        <x:v>Anggaran TI — Kontrol Bulanan, Forecast &amp; Manajemen Pengecualian</x:v>
      </x:c>
    </x:row>
    <x:row r="2" ht="15" hidden="0" customHeight="1">
      <x:c r="A2" s="7" t="str">
        <x:v>Isi actual bulanan di sel kuning. Forecast dan varians otomatis mengikuti Bulan Pelaporan di Asumsi.</x:v>
      </x:c>
      <x:c r="B2" s="7" t="str">
        <x:v>Isi actual bulanan di sel kuning. Forecast dan varians otomatis mengikuti Bulan Pelaporan di Asumsi.</x:v>
      </x:c>
      <x:c r="C2" s="7" t="str">
        <x:v>Isi actual bulanan di sel kuning. Forecast dan varians otomatis mengikuti Bulan Pelaporan di Asumsi.</x:v>
      </x:c>
      <x:c r="D2" s="7" t="str">
        <x:v>Isi actual bulanan di sel kuning. Forecast dan varians otomatis mengikuti Bulan Pelaporan di Asumsi.</x:v>
      </x:c>
      <x:c r="E2" s="7" t="str">
        <x:v>Isi actual bulanan di sel kuning. Forecast dan varians otomatis mengikuti Bulan Pelaporan di Asumsi.</x:v>
      </x:c>
      <x:c r="F2" s="7" t="str">
        <x:v>Isi actual bulanan di sel kuning. Forecast dan varians otomatis mengikuti Bulan Pelaporan di Asumsi.</x:v>
      </x:c>
      <x:c r="G2" s="7" t="str">
        <x:v>Isi actual bulanan di sel kuning. Forecast dan varians otomatis mengikuti Bulan Pelaporan di Asumsi.</x:v>
      </x:c>
      <x:c r="H2" s="7" t="str">
        <x:v>Isi actual bulanan di sel kuning. Forecast dan varians otomatis mengikuti Bulan Pelaporan di Asumsi.</x:v>
      </x:c>
      <x:c r="I2" s="7" t="str">
        <x:v>Isi actual bulanan di sel kuning. Forecast dan varians otomatis mengikuti Bulan Pelaporan di Asumsi.</x:v>
      </x:c>
      <x:c r="J2" s="7" t="str">
        <x:v>Isi actual bulanan di sel kuning. Forecast dan varians otomatis mengikuti Bulan Pelaporan di Asumsi.</x:v>
      </x:c>
      <x:c r="K2" s="7" t="str">
        <x:v>Isi actual bulanan di sel kuning. Forecast dan varians otomatis mengikuti Bulan Pelaporan di Asumsi.</x:v>
      </x:c>
      <x:c r="L2" s="7" t="str">
        <x:v>Isi actual bulanan di sel kuning. Forecast dan varians otomatis mengikuti Bulan Pelaporan di Asumsi.</x:v>
      </x:c>
      <x:c r="M2" s="7" t="str">
        <x:v>Isi actual bulanan di sel kuning. Forecast dan varians otomatis mengikuti Bulan Pelaporan di Asumsi.</x:v>
      </x:c>
      <x:c r="N2" s="7" t="str">
        <x:v>Isi actual bulanan di sel kuning. Forecast dan varians otomatis mengikuti Bulan Pelaporan di Asumsi.</x:v>
      </x:c>
      <x:c r="O2" s="7" t="str">
        <x:v>Isi actual bulanan di sel kuning. Forecast dan varians otomatis mengikuti Bulan Pelaporan di Asumsi.</x:v>
      </x:c>
      <x:c r="P2" s="7" t="str">
        <x:v>Isi actual bulanan di sel kuning. Forecast dan varians otomatis mengikuti Bulan Pelaporan di Asumsi.</x:v>
      </x:c>
    </x:row>
    <x:row r="3"/>
    <x:row r="4" ht="15" hidden="0" customHeight="1">
      <x:c r="A4" s="29" t="str">
        <x:f>"Bulan pelaporan: "&amp;CHOOSE('Asumsi'!$B$6,"Jan","Feb","Mar","Apr","Mei","Jun","Jul","Agu","Sep","Okt","Nov","Des")&amp;" | Varians positif = overspend | Kuning = input; biru = formula"</x:f>
        <x:v>Bulan pelaporan: Jan | Varians positif = overspend | Kuning = input; biru = formula</x:v>
      </x:c>
      <x:c r="B4" s="29"/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</x:row>
    <x:row r="5"/>
    <x:row r="6" ht="15" hidden="0" customHeight="1">
      <x:c r="A6" s="22" t="str">
        <x:v>Budget ID</x:v>
      </x:c>
      <x:c r="B6" s="22" t="str">
        <x:v>Cost Center</x:v>
      </x:c>
      <x:c r="C6" s="22" t="str">
        <x:v>Layanan / Inisiatif</x:v>
      </x:c>
      <x:c r="D6" s="22" t="str">
        <x:v>Jenis Belanja</x:v>
      </x:c>
      <x:c r="E6" s="22" t="str">
        <x:v>Kategori Biaya</x:v>
      </x:c>
      <x:c r="F6" s="22" t="str">
        <x:v>Anggaran Tahunan</x:v>
      </x:c>
      <x:c r="G6" s="22" t="str">
        <x:v>Actual Jan</x:v>
      </x:c>
      <x:c r="H6" s="22" t="str">
        <x:v>Actual Feb</x:v>
      </x:c>
      <x:c r="I6" s="22" t="str">
        <x:v>Actual Mar</x:v>
      </x:c>
      <x:c r="J6" s="22" t="str">
        <x:v>Actual Apr</x:v>
      </x:c>
      <x:c r="K6" s="22" t="str">
        <x:v>Actual Mei</x:v>
      </x:c>
      <x:c r="L6" s="22" t="str">
        <x:v>Actual Jun</x:v>
      </x:c>
      <x:c r="M6" s="22" t="str">
        <x:v>Actual Jul</x:v>
      </x:c>
      <x:c r="N6" s="22" t="str">
        <x:v>Actual Agu</x:v>
      </x:c>
      <x:c r="O6" s="22" t="str">
        <x:v>Actual Sep</x:v>
      </x:c>
      <x:c r="P6" s="22" t="str">
        <x:v>Actual Okt</x:v>
      </x:c>
      <x:c r="Q6" s="22" t="str">
        <x:v>Actual Nov</x:v>
      </x:c>
      <x:c r="R6" s="22" t="str">
        <x:v>Actual Des</x:v>
      </x:c>
      <x:c r="S6" s="22" t="str">
        <x:v>Budget YTD</x:v>
      </x:c>
      <x:c r="T6" s="22" t="str">
        <x:v>Actual YTD</x:v>
      </x:c>
      <x:c r="U6" s="22" t="str">
        <x:v>Forecast FY</x:v>
      </x:c>
      <x:c r="V6" s="22" t="str">
        <x:v>Varians</x:v>
      </x:c>
      <x:c r="W6" s="22" t="str">
        <x:v>Varians %</x:v>
      </x:c>
      <x:c r="X6" s="22" t="str">
        <x:v>Status Kontrol</x:v>
      </x:c>
      <x:c r="Y6" s="22" t="str">
        <x:v>Aksi / Komentar</x:v>
      </x:c>
    </x:row>
    <x:row r="7" ht="15" hidden="0" customHeight="1">
      <x:c r="A7" s="24" t="str">
        <x:f>IF('Input Anggaran'!A7="","",'Input Anggaran'!A7)</x:f>
        <x:v>IT-001</x:v>
      </x:c>
      <x:c r="B7" s="24" t="str">
        <x:f>IF('Input Anggaran'!A7="","",'Input Anggaran'!C7)</x:f>
        <x:v>CC-IT-100</x:v>
      </x:c>
      <x:c r="C7" s="24" t="str">
        <x:f>IF('Input Anggaran'!A7="","",'Input Anggaran'!D7)</x:f>
        <x:v>Infrastruktur Cloud</x:v>
      </x:c>
      <x:c r="D7" s="24" t="str">
        <x:f>IF('Input Anggaran'!A7="","",'Input Anggaran'!F7)</x:f>
        <x:v>OpEx</x:v>
      </x:c>
      <x:c r="E7" s="24" t="str">
        <x:f>IF('Input Anggaran'!A7="","",'Input Anggaran'!H7)</x:f>
        <x:v>Cloud / Hosting</x:v>
      </x:c>
      <x:c r="F7" s="32" t="n">
        <x:f>IF('Input Anggaran'!A7="","",'Input Anggaran'!J7)</x:f>
        <x:v>1200000000</x:v>
      </x:c>
      <x:c r="G7" s="31" t="n">
        <x:v>0</x:v>
      </x:c>
      <x:c r="H7" s="31" t="n">
        <x:v>0</x:v>
      </x:c>
      <x:c r="I7" s="31" t="n">
        <x:v>0</x:v>
      </x:c>
      <x:c r="J7" s="31" t="n">
        <x:v>0</x:v>
      </x:c>
      <x:c r="K7" s="31" t="n">
        <x:v>0</x:v>
      </x:c>
      <x:c r="L7" s="31" t="n">
        <x:v>0</x:v>
      </x:c>
      <x:c r="M7" s="31" t="n">
        <x:v>0</x:v>
      </x:c>
      <x:c r="N7" s="31" t="n">
        <x:v>0</x:v>
      </x:c>
      <x:c r="O7" s="31" t="n">
        <x:v>0</x:v>
      </x:c>
      <x:c r="P7" s="31" t="n">
        <x:v>0</x:v>
      </x:c>
      <x:c r="Q7" s="31" t="n">
        <x:v>0</x:v>
      </x:c>
      <x:c r="R7" s="31" t="n">
        <x:v>0</x:v>
      </x:c>
      <x:c r="S7" s="32" t="n">
        <x:f>IF($A7="","",SUM('Input Anggaran'!$K7:INDEX('Input Anggaran'!$K7:$V7,1,'Asumsi'!$B$6)))</x:f>
        <x:v>84000000</x:v>
      </x:c>
      <x:c r="T7" s="32" t="n">
        <x:f>IF($A7="","",SUM($G7:INDEX($G7:$R7,1,'Asumsi'!$B$6)))</x:f>
        <x:v>0</x:v>
      </x:c>
      <x:c r="U7" s="32" t="n">
        <x:f>IF($A7="","",ROUND(SUM(IF('Asumsi'!$B$6&gt;=1,$G7,'Input Anggaran'!$K7),IF('Asumsi'!$B$6&gt;=2,$H7,'Input Anggaran'!$L7),IF('Asumsi'!$B$6&gt;=3,$I7,'Input Anggaran'!$M7),IF('Asumsi'!$B$6&gt;=4,$J7,'Input Anggaran'!$N7),IF('Asumsi'!$B$6&gt;=5,$K7,'Input Anggaran'!$O7),IF('Asumsi'!$B$6&gt;=6,$L7,'Input Anggaran'!$P7),IF('Asumsi'!$B$6&gt;=7,$M7,'Input Anggaran'!$Q7),IF('Asumsi'!$B$6&gt;=8,$N7,'Input Anggaran'!$R7),IF('Asumsi'!$B$6&gt;=9,$O7,'Input Anggaran'!$S7),IF('Asumsi'!$B$6&gt;=10,$P7,'Input Anggaran'!$T7),IF('Asumsi'!$B$6&gt;=11,$Q7,'Input Anggaran'!$U7),IF('Asumsi'!$B$6&gt;=12,$R7,'Input Anggaran'!$V7)),0))</x:f>
        <x:v>1116000000</x:v>
      </x:c>
      <x:c r="V7" s="32" t="n">
        <x:f>IF($A7="","",$U7-$F7)</x:f>
        <x:v>-84000000</x:v>
      </x:c>
      <x:c r="W7" s="25" t="n">
        <x:f>IF($A7="","",IFERROR($V7/$F7,0))</x:f>
        <x:v>-0.07</x:v>
      </x:c>
      <x:c r="X7" s="24" t="str">
        <x:f>IF($A7="","",IF(ABS($W7)&gt;='Asumsi'!$B$12,"ESKALASI",IF(ABS($W7)&gt;='Asumsi'!$B$11,"TINJAU","TERKENDALI")))</x:f>
        <x:v>TINJAU</x:v>
      </x:c>
      <x:c r="Y7" s="16"/>
    </x:row>
    <x:row r="8" ht="15" hidden="0" customHeight="1">
      <x:c r="A8" s="24" t="str">
        <x:f>IF('Input Anggaran'!A8="","",'Input Anggaran'!A8)</x:f>
        <x:v>IT-002</x:v>
      </x:c>
      <x:c r="B8" s="24" t="str">
        <x:f>IF('Input Anggaran'!A8="","",'Input Anggaran'!C8)</x:f>
        <x:v>CC-IT-200</x:v>
      </x:c>
      <x:c r="C8" s="24" t="str">
        <x:f>IF('Input Anggaran'!A8="","",'Input Anggaran'!D8)</x:f>
        <x:v>Program Cybersecurity</x:v>
      </x:c>
      <x:c r="D8" s="24" t="str">
        <x:f>IF('Input Anggaran'!A8="","",'Input Anggaran'!F8)</x:f>
        <x:v>OpEx</x:v>
      </x:c>
      <x:c r="E8" s="24" t="str">
        <x:f>IF('Input Anggaran'!A8="","",'Input Anggaran'!H8)</x:f>
        <x:v>Security</x:v>
      </x:c>
      <x:c r="F8" s="32" t="n">
        <x:f>IF('Input Anggaran'!A8="","",'Input Anggaran'!J8)</x:f>
        <x:v>650000000</x:v>
      </x:c>
      <x:c r="G8" s="31" t="n">
        <x:v>0</x:v>
      </x:c>
      <x:c r="H8" s="31" t="n">
        <x:v>0</x:v>
      </x:c>
      <x:c r="I8" s="31" t="n">
        <x:v>0</x:v>
      </x:c>
      <x:c r="J8" s="31" t="n">
        <x:v>0</x:v>
      </x:c>
      <x:c r="K8" s="31" t="n">
        <x:v>0</x:v>
      </x:c>
      <x:c r="L8" s="31" t="n">
        <x:v>0</x:v>
      </x:c>
      <x:c r="M8" s="31" t="n">
        <x:v>0</x:v>
      </x:c>
      <x:c r="N8" s="31" t="n">
        <x:v>0</x:v>
      </x:c>
      <x:c r="O8" s="31" t="n">
        <x:v>0</x:v>
      </x:c>
      <x:c r="P8" s="31" t="n">
        <x:v>0</x:v>
      </x:c>
      <x:c r="Q8" s="31" t="n">
        <x:v>0</x:v>
      </x:c>
      <x:c r="R8" s="31" t="n">
        <x:v>0</x:v>
      </x:c>
      <x:c r="S8" s="32" t="n">
        <x:f>IF($A8="","",SUM('Input Anggaran'!$K8:INDEX('Input Anggaran'!$K8:$V8,1,'Asumsi'!$B$6)))</x:f>
        <x:v>45500000</x:v>
      </x:c>
      <x:c r="T8" s="32" t="n">
        <x:f>IF($A8="","",SUM($G8:INDEX($G8:$R8,1,'Asumsi'!$B$6)))</x:f>
        <x:v>0</x:v>
      </x:c>
      <x:c r="U8" s="32" t="n">
        <x:f>IF($A8="","",ROUND(SUM(IF('Asumsi'!$B$6&gt;=1,$G8,'Input Anggaran'!$K8),IF('Asumsi'!$B$6&gt;=2,$H8,'Input Anggaran'!$L8),IF('Asumsi'!$B$6&gt;=3,$I8,'Input Anggaran'!$M8),IF('Asumsi'!$B$6&gt;=4,$J8,'Input Anggaran'!$N8),IF('Asumsi'!$B$6&gt;=5,$K8,'Input Anggaran'!$O8),IF('Asumsi'!$B$6&gt;=6,$L8,'Input Anggaran'!$P8),IF('Asumsi'!$B$6&gt;=7,$M8,'Input Anggaran'!$Q8),IF('Asumsi'!$B$6&gt;=8,$N8,'Input Anggaran'!$R8),IF('Asumsi'!$B$6&gt;=9,$O8,'Input Anggaran'!$S8),IF('Asumsi'!$B$6&gt;=10,$P8,'Input Anggaran'!$T8),IF('Asumsi'!$B$6&gt;=11,$Q8,'Input Anggaran'!$U8),IF('Asumsi'!$B$6&gt;=12,$R8,'Input Anggaran'!$V8)),0))</x:f>
        <x:v>604500000</x:v>
      </x:c>
      <x:c r="V8" s="32" t="n">
        <x:f>IF($A8="","",$U8-$F8)</x:f>
        <x:v>-45500000</x:v>
      </x:c>
      <x:c r="W8" s="25" t="n">
        <x:f>IF($A8="","",IFERROR($V8/$F8,0))</x:f>
        <x:v>-0.07</x:v>
      </x:c>
      <x:c r="X8" s="24" t="str">
        <x:f>IF($A8="","",IF(ABS($W8)&gt;='Asumsi'!$B$12,"ESKALASI",IF(ABS($W8)&gt;='Asumsi'!$B$11,"TINJAU","TERKENDALI")))</x:f>
        <x:v>TINJAU</x:v>
      </x:c>
      <x:c r="Y8" s="16"/>
    </x:row>
    <x:row r="9" ht="15" hidden="0" customHeight="1">
      <x:c r="A9" s="24" t="str">
        <x:f>IF('Input Anggaran'!A9="","",'Input Anggaran'!A9)</x:f>
        <x:v>IT-003</x:v>
      </x:c>
      <x:c r="B9" s="24" t="str">
        <x:f>IF('Input Anggaran'!A9="","",'Input Anggaran'!C9)</x:f>
        <x:v>CC-DIG-100</x:v>
      </x:c>
      <x:c r="C9" s="24" t="str">
        <x:f>IF('Input Anggaran'!A9="","",'Input Anggaran'!D9)</x:f>
        <x:v>Modernisasi ERP</x:v>
      </x:c>
      <x:c r="D9" s="24" t="str">
        <x:f>IF('Input Anggaran'!A9="","",'Input Anggaran'!F9)</x:f>
        <x:v>CapEx</x:v>
      </x:c>
      <x:c r="E9" s="24" t="str">
        <x:f>IF('Input Anggaran'!A9="","",'Input Anggaran'!H9)</x:f>
        <x:v>Applications</x:v>
      </x:c>
      <x:c r="F9" s="32" t="n">
        <x:f>IF('Input Anggaran'!A9="","",'Input Anggaran'!J9)</x:f>
        <x:v>1800000000</x:v>
      </x:c>
      <x:c r="G9" s="31" t="n">
        <x:v>0</x:v>
      </x:c>
      <x:c r="H9" s="31" t="n">
        <x:v>0</x:v>
      </x:c>
      <x:c r="I9" s="31" t="n">
        <x:v>0</x:v>
      </x:c>
      <x:c r="J9" s="31" t="n">
        <x:v>0</x:v>
      </x:c>
      <x:c r="K9" s="31" t="n">
        <x:v>0</x:v>
      </x:c>
      <x:c r="L9" s="31" t="n">
        <x:v>0</x:v>
      </x:c>
      <x:c r="M9" s="31" t="n">
        <x:v>0</x:v>
      </x:c>
      <x:c r="N9" s="31" t="n">
        <x:v>0</x:v>
      </x:c>
      <x:c r="O9" s="31" t="n">
        <x:v>0</x:v>
      </x:c>
      <x:c r="P9" s="31" t="n">
        <x:v>0</x:v>
      </x:c>
      <x:c r="Q9" s="31" t="n">
        <x:v>0</x:v>
      </x:c>
      <x:c r="R9" s="31" t="n">
        <x:v>0</x:v>
      </x:c>
      <x:c r="S9" s="32" t="n">
        <x:f>IF($A9="","",SUM('Input Anggaran'!$K9:INDEX('Input Anggaran'!$K9:$V9,1,'Asumsi'!$B$6)))</x:f>
        <x:v>126000000</x:v>
      </x:c>
      <x:c r="T9" s="32" t="n">
        <x:f>IF($A9="","",SUM($G9:INDEX($G9:$R9,1,'Asumsi'!$B$6)))</x:f>
        <x:v>0</x:v>
      </x:c>
      <x:c r="U9" s="32" t="n">
        <x:f>IF($A9="","",ROUND(SUM(IF('Asumsi'!$B$6&gt;=1,$G9,'Input Anggaran'!$K9),IF('Asumsi'!$B$6&gt;=2,$H9,'Input Anggaran'!$L9),IF('Asumsi'!$B$6&gt;=3,$I9,'Input Anggaran'!$M9),IF('Asumsi'!$B$6&gt;=4,$J9,'Input Anggaran'!$N9),IF('Asumsi'!$B$6&gt;=5,$K9,'Input Anggaran'!$O9),IF('Asumsi'!$B$6&gt;=6,$L9,'Input Anggaran'!$P9),IF('Asumsi'!$B$6&gt;=7,$M9,'Input Anggaran'!$Q9),IF('Asumsi'!$B$6&gt;=8,$N9,'Input Anggaran'!$R9),IF('Asumsi'!$B$6&gt;=9,$O9,'Input Anggaran'!$S9),IF('Asumsi'!$B$6&gt;=10,$P9,'Input Anggaran'!$T9),IF('Asumsi'!$B$6&gt;=11,$Q9,'Input Anggaran'!$U9),IF('Asumsi'!$B$6&gt;=12,$R9,'Input Anggaran'!$V9)),0))</x:f>
        <x:v>1674000000</x:v>
      </x:c>
      <x:c r="V9" s="32" t="n">
        <x:f>IF($A9="","",$U9-$F9)</x:f>
        <x:v>-126000000</x:v>
      </x:c>
      <x:c r="W9" s="25" t="n">
        <x:f>IF($A9="","",IFERROR($V9/$F9,0))</x:f>
        <x:v>-0.07</x:v>
      </x:c>
      <x:c r="X9" s="24" t="str">
        <x:f>IF($A9="","",IF(ABS($W9)&gt;='Asumsi'!$B$12,"ESKALASI",IF(ABS($W9)&gt;='Asumsi'!$B$11,"TINJAU","TERKENDALI")))</x:f>
        <x:v>TINJAU</x:v>
      </x:c>
      <x:c r="Y9" s="16"/>
    </x:row>
    <x:row r="10" ht="15" hidden="0" customHeight="1">
      <x:c r="A10" s="24" t="str">
        <x:f>IF('Input Anggaran'!A10="","",'Input Anggaran'!A10)</x:f>
        <x:v>IT-004</x:v>
      </x:c>
      <x:c r="B10" s="24" t="str">
        <x:f>IF('Input Anggaran'!A10="","",'Input Anggaran'!C10)</x:f>
        <x:v>CC-IT-300</x:v>
      </x:c>
      <x:c r="C10" s="24" t="str">
        <x:f>IF('Input Anggaran'!A10="","",'Input Anggaran'!D10)</x:f>
        <x:v>Layanan End User</x:v>
      </x:c>
      <x:c r="D10" s="24" t="str">
        <x:f>IF('Input Anggaran'!A10="","",'Input Anggaran'!F10)</x:f>
        <x:v>OpEx</x:v>
      </x:c>
      <x:c r="E10" s="24" t="str">
        <x:f>IF('Input Anggaran'!A10="","",'Input Anggaran'!H10)</x:f>
        <x:v>Workplace &amp; Devices</x:v>
      </x:c>
      <x:c r="F10" s="32" t="n">
        <x:f>IF('Input Anggaran'!A10="","",'Input Anggaran'!J10)</x:f>
        <x:v>480000000</x:v>
      </x:c>
      <x:c r="G10" s="31" t="n">
        <x:v>0</x:v>
      </x:c>
      <x:c r="H10" s="31" t="n">
        <x:v>0</x:v>
      </x:c>
      <x:c r="I10" s="31" t="n">
        <x:v>0</x:v>
      </x:c>
      <x:c r="J10" s="31" t="n">
        <x:v>0</x:v>
      </x:c>
      <x:c r="K10" s="31" t="n">
        <x:v>0</x:v>
      </x:c>
      <x:c r="L10" s="31" t="n">
        <x:v>0</x:v>
      </x:c>
      <x:c r="M10" s="31" t="n">
        <x:v>0</x:v>
      </x:c>
      <x:c r="N10" s="31" t="n">
        <x:v>0</x:v>
      </x:c>
      <x:c r="O10" s="31" t="n">
        <x:v>0</x:v>
      </x:c>
      <x:c r="P10" s="31" t="n">
        <x:v>0</x:v>
      </x:c>
      <x:c r="Q10" s="31" t="n">
        <x:v>0</x:v>
      </x:c>
      <x:c r="R10" s="31" t="n">
        <x:v>0</x:v>
      </x:c>
      <x:c r="S10" s="32" t="n">
        <x:f>IF($A10="","",SUM('Input Anggaran'!$K10:INDEX('Input Anggaran'!$K10:$V10,1,'Asumsi'!$B$6)))</x:f>
        <x:v>33600000</x:v>
      </x:c>
      <x:c r="T10" s="32" t="n">
        <x:f>IF($A10="","",SUM($G10:INDEX($G10:$R10,1,'Asumsi'!$B$6)))</x:f>
        <x:v>0</x:v>
      </x:c>
      <x:c r="U10" s="32" t="n">
        <x:f>IF($A10="","",ROUND(SUM(IF('Asumsi'!$B$6&gt;=1,$G10,'Input Anggaran'!$K10),IF('Asumsi'!$B$6&gt;=2,$H10,'Input Anggaran'!$L10),IF('Asumsi'!$B$6&gt;=3,$I10,'Input Anggaran'!$M10),IF('Asumsi'!$B$6&gt;=4,$J10,'Input Anggaran'!$N10),IF('Asumsi'!$B$6&gt;=5,$K10,'Input Anggaran'!$O10),IF('Asumsi'!$B$6&gt;=6,$L10,'Input Anggaran'!$P10),IF('Asumsi'!$B$6&gt;=7,$M10,'Input Anggaran'!$Q10),IF('Asumsi'!$B$6&gt;=8,$N10,'Input Anggaran'!$R10),IF('Asumsi'!$B$6&gt;=9,$O10,'Input Anggaran'!$S10),IF('Asumsi'!$B$6&gt;=10,$P10,'Input Anggaran'!$T10),IF('Asumsi'!$B$6&gt;=11,$Q10,'Input Anggaran'!$U10),IF('Asumsi'!$B$6&gt;=12,$R10,'Input Anggaran'!$V10)),0))</x:f>
        <x:v>446400000</x:v>
      </x:c>
      <x:c r="V10" s="32" t="n">
        <x:f>IF($A10="","",$U10-$F10)</x:f>
        <x:v>-33600000</x:v>
      </x:c>
      <x:c r="W10" s="25" t="n">
        <x:f>IF($A10="","",IFERROR($V10/$F10,0))</x:f>
        <x:v>-0.07</x:v>
      </x:c>
      <x:c r="X10" s="24" t="str">
        <x:f>IF($A10="","",IF(ABS($W10)&gt;='Asumsi'!$B$12,"ESKALASI",IF(ABS($W10)&gt;='Asumsi'!$B$11,"TINJAU","TERKENDALI")))</x:f>
        <x:v>TINJAU</x:v>
      </x:c>
      <x:c r="Y10" s="16"/>
    </x:row>
    <x:row r="11" ht="15" hidden="0" customHeight="1">
      <x:c r="A11" s="24" t="str">
        <x:f>IF('Input Anggaran'!A11="","",'Input Anggaran'!A11)</x:f>
        <x:v>IT-005</x:v>
      </x:c>
      <x:c r="B11" s="24" t="str">
        <x:f>IF('Input Anggaran'!A11="","",'Input Anggaran'!C11)</x:f>
        <x:v>CC-DIG-200</x:v>
      </x:c>
      <x:c r="C11" s="24" t="str">
        <x:f>IF('Input Anggaran'!A11="","",'Input Anggaran'!D11)</x:f>
        <x:v>Data &amp; Analitik</x:v>
      </x:c>
      <x:c r="D11" s="24" t="str">
        <x:f>IF('Input Anggaran'!A11="","",'Input Anggaran'!F11)</x:f>
        <x:v>CapEx</x:v>
      </x:c>
      <x:c r="E11" s="24" t="str">
        <x:f>IF('Input Anggaran'!A11="","",'Input Anggaran'!H11)</x:f>
        <x:v>Data Platform</x:v>
      </x:c>
      <x:c r="F11" s="32" t="n">
        <x:f>IF('Input Anggaran'!A11="","",'Input Anggaran'!J11)</x:f>
        <x:v>900000000</x:v>
      </x:c>
      <x:c r="G11" s="31" t="n">
        <x:v>0</x:v>
      </x:c>
      <x:c r="H11" s="31" t="n">
        <x:v>0</x:v>
      </x:c>
      <x:c r="I11" s="31" t="n">
        <x:v>0</x:v>
      </x:c>
      <x:c r="J11" s="31" t="n">
        <x:v>0</x:v>
      </x:c>
      <x:c r="K11" s="31" t="n">
        <x:v>0</x:v>
      </x:c>
      <x:c r="L11" s="31" t="n">
        <x:v>0</x:v>
      </x:c>
      <x:c r="M11" s="31" t="n">
        <x:v>0</x:v>
      </x:c>
      <x:c r="N11" s="31" t="n">
        <x:v>0</x:v>
      </x:c>
      <x:c r="O11" s="31" t="n">
        <x:v>0</x:v>
      </x:c>
      <x:c r="P11" s="31" t="n">
        <x:v>0</x:v>
      </x:c>
      <x:c r="Q11" s="31" t="n">
        <x:v>0</x:v>
      </x:c>
      <x:c r="R11" s="31" t="n">
        <x:v>0</x:v>
      </x:c>
      <x:c r="S11" s="32" t="n">
        <x:f>IF($A11="","",SUM('Input Anggaran'!$K11:INDEX('Input Anggaran'!$K11:$V11,1,'Asumsi'!$B$6)))</x:f>
        <x:v>63000000</x:v>
      </x:c>
      <x:c r="T11" s="32" t="n">
        <x:f>IF($A11="","",SUM($G11:INDEX($G11:$R11,1,'Asumsi'!$B$6)))</x:f>
        <x:v>0</x:v>
      </x:c>
      <x:c r="U11" s="32" t="n">
        <x:f>IF($A11="","",ROUND(SUM(IF('Asumsi'!$B$6&gt;=1,$G11,'Input Anggaran'!$K11),IF('Asumsi'!$B$6&gt;=2,$H11,'Input Anggaran'!$L11),IF('Asumsi'!$B$6&gt;=3,$I11,'Input Anggaran'!$M11),IF('Asumsi'!$B$6&gt;=4,$J11,'Input Anggaran'!$N11),IF('Asumsi'!$B$6&gt;=5,$K11,'Input Anggaran'!$O11),IF('Asumsi'!$B$6&gt;=6,$L11,'Input Anggaran'!$P11),IF('Asumsi'!$B$6&gt;=7,$M11,'Input Anggaran'!$Q11),IF('Asumsi'!$B$6&gt;=8,$N11,'Input Anggaran'!$R11),IF('Asumsi'!$B$6&gt;=9,$O11,'Input Anggaran'!$S11),IF('Asumsi'!$B$6&gt;=10,$P11,'Input Anggaran'!$T11),IF('Asumsi'!$B$6&gt;=11,$Q11,'Input Anggaran'!$U11),IF('Asumsi'!$B$6&gt;=12,$R11,'Input Anggaran'!$V11)),0))</x:f>
        <x:v>837000000</x:v>
      </x:c>
      <x:c r="V11" s="32" t="n">
        <x:f>IF($A11="","",$U11-$F11)</x:f>
        <x:v>-63000000</x:v>
      </x:c>
      <x:c r="W11" s="25" t="n">
        <x:f>IF($A11="","",IFERROR($V11/$F11,0))</x:f>
        <x:v>-0.07</x:v>
      </x:c>
      <x:c r="X11" s="24" t="str">
        <x:f>IF($A11="","",IF(ABS($W11)&gt;='Asumsi'!$B$12,"ESKALASI",IF(ABS($W11)&gt;='Asumsi'!$B$11,"TINJAU","TERKENDALI")))</x:f>
        <x:v>TINJAU</x:v>
      </x:c>
      <x:c r="Y11" s="16"/>
    </x:row>
    <x:row r="12" ht="15" hidden="0" customHeight="1">
      <x:c r="A12" s="24" t="str">
        <x:f>IF('Input Anggaran'!A12="","",'Input Anggaran'!A12)</x:f>
      </x:c>
      <x:c r="B12" s="24" t="str">
        <x:f>IF('Input Anggaran'!A12="","",'Input Anggaran'!C12)</x:f>
      </x:c>
      <x:c r="C12" s="24" t="str">
        <x:f>IF('Input Anggaran'!A12="","",'Input Anggaran'!D12)</x:f>
      </x:c>
      <x:c r="D12" s="24" t="str">
        <x:f>IF('Input Anggaran'!A12="","",'Input Anggaran'!F12)</x:f>
      </x:c>
      <x:c r="E12" s="24" t="str">
        <x:f>IF('Input Anggaran'!A12="","",'Input Anggaran'!H12)</x:f>
      </x:c>
      <x:c r="F12" s="32" t="str">
        <x:f>IF('Input Anggaran'!A12="","",'Input Anggaran'!J12)</x:f>
      </x:c>
      <x:c r="G12" s="31" t="n">
        <x:v>0</x:v>
      </x:c>
      <x:c r="H12" s="31" t="n">
        <x:v>0</x:v>
      </x:c>
      <x:c r="I12" s="31" t="n">
        <x:v>0</x:v>
      </x:c>
      <x:c r="J12" s="31" t="n">
        <x:v>0</x:v>
      </x:c>
      <x:c r="K12" s="31" t="n">
        <x:v>0</x:v>
      </x:c>
      <x:c r="L12" s="31" t="n">
        <x:v>0</x:v>
      </x:c>
      <x:c r="M12" s="31" t="n">
        <x:v>0</x:v>
      </x:c>
      <x:c r="N12" s="31" t="n">
        <x:v>0</x:v>
      </x:c>
      <x:c r="O12" s="31" t="n">
        <x:v>0</x:v>
      </x:c>
      <x:c r="P12" s="31" t="n">
        <x:v>0</x:v>
      </x:c>
      <x:c r="Q12" s="31" t="n">
        <x:v>0</x:v>
      </x:c>
      <x:c r="R12" s="31" t="n">
        <x:v>0</x:v>
      </x:c>
      <x:c r="S12" s="32" t="str">
        <x:f>IF($A12="","",SUM('Input Anggaran'!$K12:INDEX('Input Anggaran'!$K12:$V12,1,'Asumsi'!$B$6)))</x:f>
      </x:c>
      <x:c r="T12" s="32" t="str">
        <x:f>IF($A12="","",SUM($G12:INDEX($G12:$R12,1,'Asumsi'!$B$6)))</x:f>
      </x:c>
      <x:c r="U12" s="32" t="str">
        <x:f>IF($A12="","",ROUND(SUM(IF('Asumsi'!$B$6&gt;=1,$G12,'Input Anggaran'!$K12),IF('Asumsi'!$B$6&gt;=2,$H12,'Input Anggaran'!$L12),IF('Asumsi'!$B$6&gt;=3,$I12,'Input Anggaran'!$M12),IF('Asumsi'!$B$6&gt;=4,$J12,'Input Anggaran'!$N12),IF('Asumsi'!$B$6&gt;=5,$K12,'Input Anggaran'!$O12),IF('Asumsi'!$B$6&gt;=6,$L12,'Input Anggaran'!$P12),IF('Asumsi'!$B$6&gt;=7,$M12,'Input Anggaran'!$Q12),IF('Asumsi'!$B$6&gt;=8,$N12,'Input Anggaran'!$R12),IF('Asumsi'!$B$6&gt;=9,$O12,'Input Anggaran'!$S12),IF('Asumsi'!$B$6&gt;=10,$P12,'Input Anggaran'!$T12),IF('Asumsi'!$B$6&gt;=11,$Q12,'Input Anggaran'!$U12),IF('Asumsi'!$B$6&gt;=12,$R12,'Input Anggaran'!$V12)),0))</x:f>
      </x:c>
      <x:c r="V12" s="32" t="str">
        <x:f>IF($A12="","",$U12-$F12)</x:f>
      </x:c>
      <x:c r="W12" s="25" t="str">
        <x:f>IF($A12="","",IFERROR($V12/$F12,0))</x:f>
      </x:c>
      <x:c r="X12" s="24" t="str">
        <x:f>IF($A12="","",IF(ABS($W12)&gt;='Asumsi'!$B$12,"ESKALASI",IF(ABS($W12)&gt;='Asumsi'!$B$11,"TINJAU","TERKENDALI")))</x:f>
      </x:c>
      <x:c r="Y12" s="16"/>
    </x:row>
    <x:row r="13" ht="15" hidden="0" customHeight="1">
      <x:c r="A13" s="24" t="str">
        <x:f>IF('Input Anggaran'!A13="","",'Input Anggaran'!A13)</x:f>
      </x:c>
      <x:c r="B13" s="24" t="str">
        <x:f>IF('Input Anggaran'!A13="","",'Input Anggaran'!C13)</x:f>
      </x:c>
      <x:c r="C13" s="24" t="str">
        <x:f>IF('Input Anggaran'!A13="","",'Input Anggaran'!D13)</x:f>
      </x:c>
      <x:c r="D13" s="24" t="str">
        <x:f>IF('Input Anggaran'!A13="","",'Input Anggaran'!F13)</x:f>
      </x:c>
      <x:c r="E13" s="24" t="str">
        <x:f>IF('Input Anggaran'!A13="","",'Input Anggaran'!H13)</x:f>
      </x:c>
      <x:c r="F13" s="32" t="str">
        <x:f>IF('Input Anggaran'!A13="","",'Input Anggaran'!J13)</x:f>
      </x:c>
      <x:c r="G13" s="31" t="n">
        <x:v>0</x:v>
      </x:c>
      <x:c r="H13" s="31" t="n">
        <x:v>0</x:v>
      </x:c>
      <x:c r="I13" s="31" t="n">
        <x:v>0</x:v>
      </x:c>
      <x:c r="J13" s="31" t="n">
        <x:v>0</x:v>
      </x:c>
      <x:c r="K13" s="31" t="n">
        <x:v>0</x:v>
      </x:c>
      <x:c r="L13" s="31" t="n">
        <x:v>0</x:v>
      </x:c>
      <x:c r="M13" s="31" t="n">
        <x:v>0</x:v>
      </x:c>
      <x:c r="N13" s="31" t="n">
        <x:v>0</x:v>
      </x:c>
      <x:c r="O13" s="31" t="n">
        <x:v>0</x:v>
      </x:c>
      <x:c r="P13" s="31" t="n">
        <x:v>0</x:v>
      </x:c>
      <x:c r="Q13" s="31" t="n">
        <x:v>0</x:v>
      </x:c>
      <x:c r="R13" s="31" t="n">
        <x:v>0</x:v>
      </x:c>
      <x:c r="S13" s="32" t="str">
        <x:f>IF($A13="","",SUM('Input Anggaran'!$K13:INDEX('Input Anggaran'!$K13:$V13,1,'Asumsi'!$B$6)))</x:f>
      </x:c>
      <x:c r="T13" s="32" t="str">
        <x:f>IF($A13="","",SUM($G13:INDEX($G13:$R13,1,'Asumsi'!$B$6)))</x:f>
      </x:c>
      <x:c r="U13" s="32" t="str">
        <x:f>IF($A13="","",ROUND(SUM(IF('Asumsi'!$B$6&gt;=1,$G13,'Input Anggaran'!$K13),IF('Asumsi'!$B$6&gt;=2,$H13,'Input Anggaran'!$L13),IF('Asumsi'!$B$6&gt;=3,$I13,'Input Anggaran'!$M13),IF('Asumsi'!$B$6&gt;=4,$J13,'Input Anggaran'!$N13),IF('Asumsi'!$B$6&gt;=5,$K13,'Input Anggaran'!$O13),IF('Asumsi'!$B$6&gt;=6,$L13,'Input Anggaran'!$P13),IF('Asumsi'!$B$6&gt;=7,$M13,'Input Anggaran'!$Q13),IF('Asumsi'!$B$6&gt;=8,$N13,'Input Anggaran'!$R13),IF('Asumsi'!$B$6&gt;=9,$O13,'Input Anggaran'!$S13),IF('Asumsi'!$B$6&gt;=10,$P13,'Input Anggaran'!$T13),IF('Asumsi'!$B$6&gt;=11,$Q13,'Input Anggaran'!$U13),IF('Asumsi'!$B$6&gt;=12,$R13,'Input Anggaran'!$V13)),0))</x:f>
      </x:c>
      <x:c r="V13" s="32" t="str">
        <x:f>IF($A13="","",$U13-$F13)</x:f>
      </x:c>
      <x:c r="W13" s="25" t="str">
        <x:f>IF($A13="","",IFERROR($V13/$F13,0))</x:f>
      </x:c>
      <x:c r="X13" s="24" t="str">
        <x:f>IF($A13="","",IF(ABS($W13)&gt;='Asumsi'!$B$12,"ESKALASI",IF(ABS($W13)&gt;='Asumsi'!$B$11,"TINJAU","TERKENDALI")))</x:f>
      </x:c>
      <x:c r="Y13" s="16"/>
    </x:row>
    <x:row r="14" ht="15" hidden="0" customHeight="1">
      <x:c r="A14" s="24" t="str">
        <x:f>IF('Input Anggaran'!A14="","",'Input Anggaran'!A14)</x:f>
      </x:c>
      <x:c r="B14" s="24" t="str">
        <x:f>IF('Input Anggaran'!A14="","",'Input Anggaran'!C14)</x:f>
      </x:c>
      <x:c r="C14" s="24" t="str">
        <x:f>IF('Input Anggaran'!A14="","",'Input Anggaran'!D14)</x:f>
      </x:c>
      <x:c r="D14" s="24" t="str">
        <x:f>IF('Input Anggaran'!A14="","",'Input Anggaran'!F14)</x:f>
      </x:c>
      <x:c r="E14" s="24" t="str">
        <x:f>IF('Input Anggaran'!A14="","",'Input Anggaran'!H14)</x:f>
      </x:c>
      <x:c r="F14" s="32" t="str">
        <x:f>IF('Input Anggaran'!A14="","",'Input Anggaran'!J14)</x:f>
      </x:c>
      <x:c r="G14" s="31" t="n">
        <x:v>0</x:v>
      </x:c>
      <x:c r="H14" s="31" t="n">
        <x:v>0</x:v>
      </x:c>
      <x:c r="I14" s="31" t="n">
        <x:v>0</x:v>
      </x:c>
      <x:c r="J14" s="31" t="n">
        <x:v>0</x:v>
      </x:c>
      <x:c r="K14" s="31" t="n">
        <x:v>0</x:v>
      </x:c>
      <x:c r="L14" s="31" t="n">
        <x:v>0</x:v>
      </x:c>
      <x:c r="M14" s="31" t="n">
        <x:v>0</x:v>
      </x:c>
      <x:c r="N14" s="31" t="n">
        <x:v>0</x:v>
      </x:c>
      <x:c r="O14" s="31" t="n">
        <x:v>0</x:v>
      </x:c>
      <x:c r="P14" s="31" t="n">
        <x:v>0</x:v>
      </x:c>
      <x:c r="Q14" s="31" t="n">
        <x:v>0</x:v>
      </x:c>
      <x:c r="R14" s="31" t="n">
        <x:v>0</x:v>
      </x:c>
      <x:c r="S14" s="32" t="str">
        <x:f>IF($A14="","",SUM('Input Anggaran'!$K14:INDEX('Input Anggaran'!$K14:$V14,1,'Asumsi'!$B$6)))</x:f>
      </x:c>
      <x:c r="T14" s="32" t="str">
        <x:f>IF($A14="","",SUM($G14:INDEX($G14:$R14,1,'Asumsi'!$B$6)))</x:f>
      </x:c>
      <x:c r="U14" s="32" t="str">
        <x:f>IF($A14="","",ROUND(SUM(IF('Asumsi'!$B$6&gt;=1,$G14,'Input Anggaran'!$K14),IF('Asumsi'!$B$6&gt;=2,$H14,'Input Anggaran'!$L14),IF('Asumsi'!$B$6&gt;=3,$I14,'Input Anggaran'!$M14),IF('Asumsi'!$B$6&gt;=4,$J14,'Input Anggaran'!$N14),IF('Asumsi'!$B$6&gt;=5,$K14,'Input Anggaran'!$O14),IF('Asumsi'!$B$6&gt;=6,$L14,'Input Anggaran'!$P14),IF('Asumsi'!$B$6&gt;=7,$M14,'Input Anggaran'!$Q14),IF('Asumsi'!$B$6&gt;=8,$N14,'Input Anggaran'!$R14),IF('Asumsi'!$B$6&gt;=9,$O14,'Input Anggaran'!$S14),IF('Asumsi'!$B$6&gt;=10,$P14,'Input Anggaran'!$T14),IF('Asumsi'!$B$6&gt;=11,$Q14,'Input Anggaran'!$U14),IF('Asumsi'!$B$6&gt;=12,$R14,'Input Anggaran'!$V14)),0))</x:f>
      </x:c>
      <x:c r="V14" s="32" t="str">
        <x:f>IF($A14="","",$U14-$F14)</x:f>
      </x:c>
      <x:c r="W14" s="25" t="str">
        <x:f>IF($A14="","",IFERROR($V14/$F14,0))</x:f>
      </x:c>
      <x:c r="X14" s="24" t="str">
        <x:f>IF($A14="","",IF(ABS($W14)&gt;='Asumsi'!$B$12,"ESKALASI",IF(ABS($W14)&gt;='Asumsi'!$B$11,"TINJAU","TERKENDALI")))</x:f>
      </x:c>
      <x:c r="Y14" s="16"/>
    </x:row>
    <x:row r="15" ht="15" hidden="0" customHeight="1">
      <x:c r="A15" s="24" t="str">
        <x:f>IF('Input Anggaran'!A15="","",'Input Anggaran'!A15)</x:f>
      </x:c>
      <x:c r="B15" s="24" t="str">
        <x:f>IF('Input Anggaran'!A15="","",'Input Anggaran'!C15)</x:f>
      </x:c>
      <x:c r="C15" s="24" t="str">
        <x:f>IF('Input Anggaran'!A15="","",'Input Anggaran'!D15)</x:f>
      </x:c>
      <x:c r="D15" s="24" t="str">
        <x:f>IF('Input Anggaran'!A15="","",'Input Anggaran'!F15)</x:f>
      </x:c>
      <x:c r="E15" s="24" t="str">
        <x:f>IF('Input Anggaran'!A15="","",'Input Anggaran'!H15)</x:f>
      </x:c>
      <x:c r="F15" s="32" t="str">
        <x:f>IF('Input Anggaran'!A15="","",'Input Anggaran'!J15)</x:f>
      </x:c>
      <x:c r="G15" s="31" t="n">
        <x:v>0</x:v>
      </x:c>
      <x:c r="H15" s="31" t="n">
        <x:v>0</x:v>
      </x:c>
      <x:c r="I15" s="31" t="n">
        <x:v>0</x:v>
      </x:c>
      <x:c r="J15" s="31" t="n">
        <x:v>0</x:v>
      </x:c>
      <x:c r="K15" s="31" t="n">
        <x:v>0</x:v>
      </x:c>
      <x:c r="L15" s="31" t="n">
        <x:v>0</x:v>
      </x:c>
      <x:c r="M15" s="31" t="n">
        <x:v>0</x:v>
      </x:c>
      <x:c r="N15" s="31" t="n">
        <x:v>0</x:v>
      </x:c>
      <x:c r="O15" s="31" t="n">
        <x:v>0</x:v>
      </x:c>
      <x:c r="P15" s="31" t="n">
        <x:v>0</x:v>
      </x:c>
      <x:c r="Q15" s="31" t="n">
        <x:v>0</x:v>
      </x:c>
      <x:c r="R15" s="31" t="n">
        <x:v>0</x:v>
      </x:c>
      <x:c r="S15" s="32" t="str">
        <x:f>IF($A15="","",SUM('Input Anggaran'!$K15:INDEX('Input Anggaran'!$K15:$V15,1,'Asumsi'!$B$6)))</x:f>
      </x:c>
      <x:c r="T15" s="32" t="str">
        <x:f>IF($A15="","",SUM($G15:INDEX($G15:$R15,1,'Asumsi'!$B$6)))</x:f>
      </x:c>
      <x:c r="U15" s="32" t="str">
        <x:f>IF($A15="","",ROUND(SUM(IF('Asumsi'!$B$6&gt;=1,$G15,'Input Anggaran'!$K15),IF('Asumsi'!$B$6&gt;=2,$H15,'Input Anggaran'!$L15),IF('Asumsi'!$B$6&gt;=3,$I15,'Input Anggaran'!$M15),IF('Asumsi'!$B$6&gt;=4,$J15,'Input Anggaran'!$N15),IF('Asumsi'!$B$6&gt;=5,$K15,'Input Anggaran'!$O15),IF('Asumsi'!$B$6&gt;=6,$L15,'Input Anggaran'!$P15),IF('Asumsi'!$B$6&gt;=7,$M15,'Input Anggaran'!$Q15),IF('Asumsi'!$B$6&gt;=8,$N15,'Input Anggaran'!$R15),IF('Asumsi'!$B$6&gt;=9,$O15,'Input Anggaran'!$S15),IF('Asumsi'!$B$6&gt;=10,$P15,'Input Anggaran'!$T15),IF('Asumsi'!$B$6&gt;=11,$Q15,'Input Anggaran'!$U15),IF('Asumsi'!$B$6&gt;=12,$R15,'Input Anggaran'!$V15)),0))</x:f>
      </x:c>
      <x:c r="V15" s="32" t="str">
        <x:f>IF($A15="","",$U15-$F15)</x:f>
      </x:c>
      <x:c r="W15" s="25" t="str">
        <x:f>IF($A15="","",IFERROR($V15/$F15,0))</x:f>
      </x:c>
      <x:c r="X15" s="24" t="str">
        <x:f>IF($A15="","",IF(ABS($W15)&gt;='Asumsi'!$B$12,"ESKALASI",IF(ABS($W15)&gt;='Asumsi'!$B$11,"TINJAU","TERKENDALI")))</x:f>
      </x:c>
      <x:c r="Y15" s="16"/>
    </x:row>
    <x:row r="16" ht="15" hidden="0" customHeight="1">
      <x:c r="A16" s="24" t="str">
        <x:f>IF('Input Anggaran'!A16="","",'Input Anggaran'!A16)</x:f>
      </x:c>
      <x:c r="B16" s="24" t="str">
        <x:f>IF('Input Anggaran'!A16="","",'Input Anggaran'!C16)</x:f>
      </x:c>
      <x:c r="C16" s="24" t="str">
        <x:f>IF('Input Anggaran'!A16="","",'Input Anggaran'!D16)</x:f>
      </x:c>
      <x:c r="D16" s="24" t="str">
        <x:f>IF('Input Anggaran'!A16="","",'Input Anggaran'!F16)</x:f>
      </x:c>
      <x:c r="E16" s="24" t="str">
        <x:f>IF('Input Anggaran'!A16="","",'Input Anggaran'!H16)</x:f>
      </x:c>
      <x:c r="F16" s="32" t="str">
        <x:f>IF('Input Anggaran'!A16="","",'Input Anggaran'!J16)</x:f>
      </x:c>
      <x:c r="G16" s="31" t="n">
        <x:v>0</x:v>
      </x:c>
      <x:c r="H16" s="31" t="n">
        <x:v>0</x:v>
      </x:c>
      <x:c r="I16" s="31" t="n">
        <x:v>0</x:v>
      </x:c>
      <x:c r="J16" s="31" t="n">
        <x:v>0</x:v>
      </x:c>
      <x:c r="K16" s="31" t="n">
        <x:v>0</x:v>
      </x:c>
      <x:c r="L16" s="31" t="n">
        <x:v>0</x:v>
      </x:c>
      <x:c r="M16" s="31" t="n">
        <x:v>0</x:v>
      </x:c>
      <x:c r="N16" s="31" t="n">
        <x:v>0</x:v>
      </x:c>
      <x:c r="O16" s="31" t="n">
        <x:v>0</x:v>
      </x:c>
      <x:c r="P16" s="31" t="n">
        <x:v>0</x:v>
      </x:c>
      <x:c r="Q16" s="31" t="n">
        <x:v>0</x:v>
      </x:c>
      <x:c r="R16" s="31" t="n">
        <x:v>0</x:v>
      </x:c>
      <x:c r="S16" s="32" t="str">
        <x:f>IF($A16="","",SUM('Input Anggaran'!$K16:INDEX('Input Anggaran'!$K16:$V16,1,'Asumsi'!$B$6)))</x:f>
      </x:c>
      <x:c r="T16" s="32" t="str">
        <x:f>IF($A16="","",SUM($G16:INDEX($G16:$R16,1,'Asumsi'!$B$6)))</x:f>
      </x:c>
      <x:c r="U16" s="32" t="str">
        <x:f>IF($A16="","",ROUND(SUM(IF('Asumsi'!$B$6&gt;=1,$G16,'Input Anggaran'!$K16),IF('Asumsi'!$B$6&gt;=2,$H16,'Input Anggaran'!$L16),IF('Asumsi'!$B$6&gt;=3,$I16,'Input Anggaran'!$M16),IF('Asumsi'!$B$6&gt;=4,$J16,'Input Anggaran'!$N16),IF('Asumsi'!$B$6&gt;=5,$K16,'Input Anggaran'!$O16),IF('Asumsi'!$B$6&gt;=6,$L16,'Input Anggaran'!$P16),IF('Asumsi'!$B$6&gt;=7,$M16,'Input Anggaran'!$Q16),IF('Asumsi'!$B$6&gt;=8,$N16,'Input Anggaran'!$R16),IF('Asumsi'!$B$6&gt;=9,$O16,'Input Anggaran'!$S16),IF('Asumsi'!$B$6&gt;=10,$P16,'Input Anggaran'!$T16),IF('Asumsi'!$B$6&gt;=11,$Q16,'Input Anggaran'!$U16),IF('Asumsi'!$B$6&gt;=12,$R16,'Input Anggaran'!$V16)),0))</x:f>
      </x:c>
      <x:c r="V16" s="32" t="str">
        <x:f>IF($A16="","",$U16-$F16)</x:f>
      </x:c>
      <x:c r="W16" s="25" t="str">
        <x:f>IF($A16="","",IFERROR($V16/$F16,0))</x:f>
      </x:c>
      <x:c r="X16" s="24" t="str">
        <x:f>IF($A16="","",IF(ABS($W16)&gt;='Asumsi'!$B$12,"ESKALASI",IF(ABS($W16)&gt;='Asumsi'!$B$11,"TINJAU","TERKENDALI")))</x:f>
      </x:c>
      <x:c r="Y16" s="16"/>
    </x:row>
    <x:row r="17" ht="15" hidden="0" customHeight="1">
      <x:c r="A17" s="24" t="str">
        <x:f>IF('Input Anggaran'!A17="","",'Input Anggaran'!A17)</x:f>
      </x:c>
      <x:c r="B17" s="24" t="str">
        <x:f>IF('Input Anggaran'!A17="","",'Input Anggaran'!C17)</x:f>
      </x:c>
      <x:c r="C17" s="24" t="str">
        <x:f>IF('Input Anggaran'!A17="","",'Input Anggaran'!D17)</x:f>
      </x:c>
      <x:c r="D17" s="24" t="str">
        <x:f>IF('Input Anggaran'!A17="","",'Input Anggaran'!F17)</x:f>
      </x:c>
      <x:c r="E17" s="24" t="str">
        <x:f>IF('Input Anggaran'!A17="","",'Input Anggaran'!H17)</x:f>
      </x:c>
      <x:c r="F17" s="32" t="str">
        <x:f>IF('Input Anggaran'!A17="","",'Input Anggaran'!J17)</x:f>
      </x:c>
      <x:c r="G17" s="31" t="n">
        <x:v>0</x:v>
      </x:c>
      <x:c r="H17" s="31" t="n">
        <x:v>0</x:v>
      </x:c>
      <x:c r="I17" s="31" t="n">
        <x:v>0</x:v>
      </x:c>
      <x:c r="J17" s="31" t="n">
        <x:v>0</x:v>
      </x:c>
      <x:c r="K17" s="31" t="n">
        <x:v>0</x:v>
      </x:c>
      <x:c r="L17" s="31" t="n">
        <x:v>0</x:v>
      </x:c>
      <x:c r="M17" s="31" t="n">
        <x:v>0</x:v>
      </x:c>
      <x:c r="N17" s="31" t="n">
        <x:v>0</x:v>
      </x:c>
      <x:c r="O17" s="31" t="n">
        <x:v>0</x:v>
      </x:c>
      <x:c r="P17" s="31" t="n">
        <x:v>0</x:v>
      </x:c>
      <x:c r="Q17" s="31" t="n">
        <x:v>0</x:v>
      </x:c>
      <x:c r="R17" s="31" t="n">
        <x:v>0</x:v>
      </x:c>
      <x:c r="S17" s="32" t="str">
        <x:f>IF($A17="","",SUM('Input Anggaran'!$K17:INDEX('Input Anggaran'!$K17:$V17,1,'Asumsi'!$B$6)))</x:f>
      </x:c>
      <x:c r="T17" s="32" t="str">
        <x:f>IF($A17="","",SUM($G17:INDEX($G17:$R17,1,'Asumsi'!$B$6)))</x:f>
      </x:c>
      <x:c r="U17" s="32" t="str">
        <x:f>IF($A17="","",ROUND(SUM(IF('Asumsi'!$B$6&gt;=1,$G17,'Input Anggaran'!$K17),IF('Asumsi'!$B$6&gt;=2,$H17,'Input Anggaran'!$L17),IF('Asumsi'!$B$6&gt;=3,$I17,'Input Anggaran'!$M17),IF('Asumsi'!$B$6&gt;=4,$J17,'Input Anggaran'!$N17),IF('Asumsi'!$B$6&gt;=5,$K17,'Input Anggaran'!$O17),IF('Asumsi'!$B$6&gt;=6,$L17,'Input Anggaran'!$P17),IF('Asumsi'!$B$6&gt;=7,$M17,'Input Anggaran'!$Q17),IF('Asumsi'!$B$6&gt;=8,$N17,'Input Anggaran'!$R17),IF('Asumsi'!$B$6&gt;=9,$O17,'Input Anggaran'!$S17),IF('Asumsi'!$B$6&gt;=10,$P17,'Input Anggaran'!$T17),IF('Asumsi'!$B$6&gt;=11,$Q17,'Input Anggaran'!$U17),IF('Asumsi'!$B$6&gt;=12,$R17,'Input Anggaran'!$V17)),0))</x:f>
      </x:c>
      <x:c r="V17" s="32" t="str">
        <x:f>IF($A17="","",$U17-$F17)</x:f>
      </x:c>
      <x:c r="W17" s="25" t="str">
        <x:f>IF($A17="","",IFERROR($V17/$F17,0))</x:f>
      </x:c>
      <x:c r="X17" s="24" t="str">
        <x:f>IF($A17="","",IF(ABS($W17)&gt;='Asumsi'!$B$12,"ESKALASI",IF(ABS($W17)&gt;='Asumsi'!$B$11,"TINJAU","TERKENDALI")))</x:f>
      </x:c>
      <x:c r="Y17" s="16"/>
    </x:row>
    <x:row r="18" ht="15" hidden="0" customHeight="1">
      <x:c r="A18" s="24" t="str">
        <x:f>IF('Input Anggaran'!A18="","",'Input Anggaran'!A18)</x:f>
      </x:c>
      <x:c r="B18" s="24" t="str">
        <x:f>IF('Input Anggaran'!A18="","",'Input Anggaran'!C18)</x:f>
      </x:c>
      <x:c r="C18" s="24" t="str">
        <x:f>IF('Input Anggaran'!A18="","",'Input Anggaran'!D18)</x:f>
      </x:c>
      <x:c r="D18" s="24" t="str">
        <x:f>IF('Input Anggaran'!A18="","",'Input Anggaran'!F18)</x:f>
      </x:c>
      <x:c r="E18" s="24" t="str">
        <x:f>IF('Input Anggaran'!A18="","",'Input Anggaran'!H18)</x:f>
      </x:c>
      <x:c r="F18" s="32" t="str">
        <x:f>IF('Input Anggaran'!A18="","",'Input Anggaran'!J18)</x:f>
      </x:c>
      <x:c r="G18" s="31" t="n">
        <x:v>0</x:v>
      </x:c>
      <x:c r="H18" s="31" t="n">
        <x:v>0</x:v>
      </x:c>
      <x:c r="I18" s="31" t="n">
        <x:v>0</x:v>
      </x:c>
      <x:c r="J18" s="31" t="n">
        <x:v>0</x:v>
      </x:c>
      <x:c r="K18" s="31" t="n">
        <x:v>0</x:v>
      </x:c>
      <x:c r="L18" s="31" t="n">
        <x:v>0</x:v>
      </x:c>
      <x:c r="M18" s="31" t="n">
        <x:v>0</x:v>
      </x:c>
      <x:c r="N18" s="31" t="n">
        <x:v>0</x:v>
      </x:c>
      <x:c r="O18" s="31" t="n">
        <x:v>0</x:v>
      </x:c>
      <x:c r="P18" s="31" t="n">
        <x:v>0</x:v>
      </x:c>
      <x:c r="Q18" s="31" t="n">
        <x:v>0</x:v>
      </x:c>
      <x:c r="R18" s="31" t="n">
        <x:v>0</x:v>
      </x:c>
      <x:c r="S18" s="32" t="str">
        <x:f>IF($A18="","",SUM('Input Anggaran'!$K18:INDEX('Input Anggaran'!$K18:$V18,1,'Asumsi'!$B$6)))</x:f>
      </x:c>
      <x:c r="T18" s="32" t="str">
        <x:f>IF($A18="","",SUM($G18:INDEX($G18:$R18,1,'Asumsi'!$B$6)))</x:f>
      </x:c>
      <x:c r="U18" s="32" t="str">
        <x:f>IF($A18="","",ROUND(SUM(IF('Asumsi'!$B$6&gt;=1,$G18,'Input Anggaran'!$K18),IF('Asumsi'!$B$6&gt;=2,$H18,'Input Anggaran'!$L18),IF('Asumsi'!$B$6&gt;=3,$I18,'Input Anggaran'!$M18),IF('Asumsi'!$B$6&gt;=4,$J18,'Input Anggaran'!$N18),IF('Asumsi'!$B$6&gt;=5,$K18,'Input Anggaran'!$O18),IF('Asumsi'!$B$6&gt;=6,$L18,'Input Anggaran'!$P18),IF('Asumsi'!$B$6&gt;=7,$M18,'Input Anggaran'!$Q18),IF('Asumsi'!$B$6&gt;=8,$N18,'Input Anggaran'!$R18),IF('Asumsi'!$B$6&gt;=9,$O18,'Input Anggaran'!$S18),IF('Asumsi'!$B$6&gt;=10,$P18,'Input Anggaran'!$T18),IF('Asumsi'!$B$6&gt;=11,$Q18,'Input Anggaran'!$U18),IF('Asumsi'!$B$6&gt;=12,$R18,'Input Anggaran'!$V18)),0))</x:f>
      </x:c>
      <x:c r="V18" s="32" t="str">
        <x:f>IF($A18="","",$U18-$F18)</x:f>
      </x:c>
      <x:c r="W18" s="25" t="str">
        <x:f>IF($A18="","",IFERROR($V18/$F18,0))</x:f>
      </x:c>
      <x:c r="X18" s="24" t="str">
        <x:f>IF($A18="","",IF(ABS($W18)&gt;='Asumsi'!$B$12,"ESKALASI",IF(ABS($W18)&gt;='Asumsi'!$B$11,"TINJAU","TERKENDALI")))</x:f>
      </x:c>
      <x:c r="Y18" s="16"/>
    </x:row>
    <x:row r="19" ht="15" hidden="0" customHeight="1">
      <x:c r="A19" s="24" t="str">
        <x:f>IF('Input Anggaran'!A19="","",'Input Anggaran'!A19)</x:f>
      </x:c>
      <x:c r="B19" s="24" t="str">
        <x:f>IF('Input Anggaran'!A19="","",'Input Anggaran'!C19)</x:f>
      </x:c>
      <x:c r="C19" s="24" t="str">
        <x:f>IF('Input Anggaran'!A19="","",'Input Anggaran'!D19)</x:f>
      </x:c>
      <x:c r="D19" s="24" t="str">
        <x:f>IF('Input Anggaran'!A19="","",'Input Anggaran'!F19)</x:f>
      </x:c>
      <x:c r="E19" s="24" t="str">
        <x:f>IF('Input Anggaran'!A19="","",'Input Anggaran'!H19)</x:f>
      </x:c>
      <x:c r="F19" s="32" t="str">
        <x:f>IF('Input Anggaran'!A19="","",'Input Anggaran'!J19)</x:f>
      </x:c>
      <x:c r="G19" s="31" t="n">
        <x:v>0</x:v>
      </x:c>
      <x:c r="H19" s="31" t="n">
        <x:v>0</x:v>
      </x:c>
      <x:c r="I19" s="31" t="n">
        <x:v>0</x:v>
      </x:c>
      <x:c r="J19" s="31" t="n">
        <x:v>0</x:v>
      </x:c>
      <x:c r="K19" s="31" t="n">
        <x:v>0</x:v>
      </x:c>
      <x:c r="L19" s="31" t="n">
        <x:v>0</x:v>
      </x:c>
      <x:c r="M19" s="31" t="n">
        <x:v>0</x:v>
      </x:c>
      <x:c r="N19" s="31" t="n">
        <x:v>0</x:v>
      </x:c>
      <x:c r="O19" s="31" t="n">
        <x:v>0</x:v>
      </x:c>
      <x:c r="P19" s="31" t="n">
        <x:v>0</x:v>
      </x:c>
      <x:c r="Q19" s="31" t="n">
        <x:v>0</x:v>
      </x:c>
      <x:c r="R19" s="31" t="n">
        <x:v>0</x:v>
      </x:c>
      <x:c r="S19" s="32" t="str">
        <x:f>IF($A19="","",SUM('Input Anggaran'!$K19:INDEX('Input Anggaran'!$K19:$V19,1,'Asumsi'!$B$6)))</x:f>
      </x:c>
      <x:c r="T19" s="32" t="str">
        <x:f>IF($A19="","",SUM($G19:INDEX($G19:$R19,1,'Asumsi'!$B$6)))</x:f>
      </x:c>
      <x:c r="U19" s="32" t="str">
        <x:f>IF($A19="","",ROUND(SUM(IF('Asumsi'!$B$6&gt;=1,$G19,'Input Anggaran'!$K19),IF('Asumsi'!$B$6&gt;=2,$H19,'Input Anggaran'!$L19),IF('Asumsi'!$B$6&gt;=3,$I19,'Input Anggaran'!$M19),IF('Asumsi'!$B$6&gt;=4,$J19,'Input Anggaran'!$N19),IF('Asumsi'!$B$6&gt;=5,$K19,'Input Anggaran'!$O19),IF('Asumsi'!$B$6&gt;=6,$L19,'Input Anggaran'!$P19),IF('Asumsi'!$B$6&gt;=7,$M19,'Input Anggaran'!$Q19),IF('Asumsi'!$B$6&gt;=8,$N19,'Input Anggaran'!$R19),IF('Asumsi'!$B$6&gt;=9,$O19,'Input Anggaran'!$S19),IF('Asumsi'!$B$6&gt;=10,$P19,'Input Anggaran'!$T19),IF('Asumsi'!$B$6&gt;=11,$Q19,'Input Anggaran'!$U19),IF('Asumsi'!$B$6&gt;=12,$R19,'Input Anggaran'!$V19)),0))</x:f>
      </x:c>
      <x:c r="V19" s="32" t="str">
        <x:f>IF($A19="","",$U19-$F19)</x:f>
      </x:c>
      <x:c r="W19" s="25" t="str">
        <x:f>IF($A19="","",IFERROR($V19/$F19,0))</x:f>
      </x:c>
      <x:c r="X19" s="24" t="str">
        <x:f>IF($A19="","",IF(ABS($W19)&gt;='Asumsi'!$B$12,"ESKALASI",IF(ABS($W19)&gt;='Asumsi'!$B$11,"TINJAU","TERKENDALI")))</x:f>
      </x:c>
      <x:c r="Y19" s="16"/>
    </x:row>
    <x:row r="20" ht="15" hidden="0" customHeight="1">
      <x:c r="A20" s="24" t="str">
        <x:f>IF('Input Anggaran'!A20="","",'Input Anggaran'!A20)</x:f>
      </x:c>
      <x:c r="B20" s="24" t="str">
        <x:f>IF('Input Anggaran'!A20="","",'Input Anggaran'!C20)</x:f>
      </x:c>
      <x:c r="C20" s="24" t="str">
        <x:f>IF('Input Anggaran'!A20="","",'Input Anggaran'!D20)</x:f>
      </x:c>
      <x:c r="D20" s="24" t="str">
        <x:f>IF('Input Anggaran'!A20="","",'Input Anggaran'!F20)</x:f>
      </x:c>
      <x:c r="E20" s="24" t="str">
        <x:f>IF('Input Anggaran'!A20="","",'Input Anggaran'!H20)</x:f>
      </x:c>
      <x:c r="F20" s="32" t="str">
        <x:f>IF('Input Anggaran'!A20="","",'Input Anggaran'!J20)</x:f>
      </x:c>
      <x:c r="G20" s="31" t="n">
        <x:v>0</x:v>
      </x:c>
      <x:c r="H20" s="31" t="n">
        <x:v>0</x:v>
      </x:c>
      <x:c r="I20" s="31" t="n">
        <x:v>0</x:v>
      </x:c>
      <x:c r="J20" s="31" t="n">
        <x:v>0</x:v>
      </x:c>
      <x:c r="K20" s="31" t="n">
        <x:v>0</x:v>
      </x:c>
      <x:c r="L20" s="31" t="n">
        <x:v>0</x:v>
      </x:c>
      <x:c r="M20" s="31" t="n">
        <x:v>0</x:v>
      </x:c>
      <x:c r="N20" s="31" t="n">
        <x:v>0</x:v>
      </x:c>
      <x:c r="O20" s="31" t="n">
        <x:v>0</x:v>
      </x:c>
      <x:c r="P20" s="31" t="n">
        <x:v>0</x:v>
      </x:c>
      <x:c r="Q20" s="31" t="n">
        <x:v>0</x:v>
      </x:c>
      <x:c r="R20" s="31" t="n">
        <x:v>0</x:v>
      </x:c>
      <x:c r="S20" s="32" t="str">
        <x:f>IF($A20="","",SUM('Input Anggaran'!$K20:INDEX('Input Anggaran'!$K20:$V20,1,'Asumsi'!$B$6)))</x:f>
      </x:c>
      <x:c r="T20" s="32" t="str">
        <x:f>IF($A20="","",SUM($G20:INDEX($G20:$R20,1,'Asumsi'!$B$6)))</x:f>
      </x:c>
      <x:c r="U20" s="32" t="str">
        <x:f>IF($A20="","",ROUND(SUM(IF('Asumsi'!$B$6&gt;=1,$G20,'Input Anggaran'!$K20),IF('Asumsi'!$B$6&gt;=2,$H20,'Input Anggaran'!$L20),IF('Asumsi'!$B$6&gt;=3,$I20,'Input Anggaran'!$M20),IF('Asumsi'!$B$6&gt;=4,$J20,'Input Anggaran'!$N20),IF('Asumsi'!$B$6&gt;=5,$K20,'Input Anggaran'!$O20),IF('Asumsi'!$B$6&gt;=6,$L20,'Input Anggaran'!$P20),IF('Asumsi'!$B$6&gt;=7,$M20,'Input Anggaran'!$Q20),IF('Asumsi'!$B$6&gt;=8,$N20,'Input Anggaran'!$R20),IF('Asumsi'!$B$6&gt;=9,$O20,'Input Anggaran'!$S20),IF('Asumsi'!$B$6&gt;=10,$P20,'Input Anggaran'!$T20),IF('Asumsi'!$B$6&gt;=11,$Q20,'Input Anggaran'!$U20),IF('Asumsi'!$B$6&gt;=12,$R20,'Input Anggaran'!$V20)),0))</x:f>
      </x:c>
      <x:c r="V20" s="32" t="str">
        <x:f>IF($A20="","",$U20-$F20)</x:f>
      </x:c>
      <x:c r="W20" s="25" t="str">
        <x:f>IF($A20="","",IFERROR($V20/$F20,0))</x:f>
      </x:c>
      <x:c r="X20" s="24" t="str">
        <x:f>IF($A20="","",IF(ABS($W20)&gt;='Asumsi'!$B$12,"ESKALASI",IF(ABS($W20)&gt;='Asumsi'!$B$11,"TINJAU","TERKENDALI")))</x:f>
      </x:c>
      <x:c r="Y20" s="16"/>
    </x:row>
    <x:row r="21" ht="15" hidden="0" customHeight="1">
      <x:c r="A21" s="24" t="str">
        <x:f>IF('Input Anggaran'!A21="","",'Input Anggaran'!A21)</x:f>
      </x:c>
      <x:c r="B21" s="24" t="str">
        <x:f>IF('Input Anggaran'!A21="","",'Input Anggaran'!C21)</x:f>
      </x:c>
      <x:c r="C21" s="24" t="str">
        <x:f>IF('Input Anggaran'!A21="","",'Input Anggaran'!D21)</x:f>
      </x:c>
      <x:c r="D21" s="24" t="str">
        <x:f>IF('Input Anggaran'!A21="","",'Input Anggaran'!F21)</x:f>
      </x:c>
      <x:c r="E21" s="24" t="str">
        <x:f>IF('Input Anggaran'!A21="","",'Input Anggaran'!H21)</x:f>
      </x:c>
      <x:c r="F21" s="32" t="str">
        <x:f>IF('Input Anggaran'!A21="","",'Input Anggaran'!J21)</x:f>
      </x:c>
      <x:c r="G21" s="31" t="n">
        <x:v>0</x:v>
      </x:c>
      <x:c r="H21" s="31" t="n">
        <x:v>0</x:v>
      </x:c>
      <x:c r="I21" s="31" t="n">
        <x:v>0</x:v>
      </x:c>
      <x:c r="J21" s="31" t="n">
        <x:v>0</x:v>
      </x:c>
      <x:c r="K21" s="31" t="n">
        <x:v>0</x:v>
      </x:c>
      <x:c r="L21" s="31" t="n">
        <x:v>0</x:v>
      </x:c>
      <x:c r="M21" s="31" t="n">
        <x:v>0</x:v>
      </x:c>
      <x:c r="N21" s="31" t="n">
        <x:v>0</x:v>
      </x:c>
      <x:c r="O21" s="31" t="n">
        <x:v>0</x:v>
      </x:c>
      <x:c r="P21" s="31" t="n">
        <x:v>0</x:v>
      </x:c>
      <x:c r="Q21" s="31" t="n">
        <x:v>0</x:v>
      </x:c>
      <x:c r="R21" s="31" t="n">
        <x:v>0</x:v>
      </x:c>
      <x:c r="S21" s="32" t="str">
        <x:f>IF($A21="","",SUM('Input Anggaran'!$K21:INDEX('Input Anggaran'!$K21:$V21,1,'Asumsi'!$B$6)))</x:f>
      </x:c>
      <x:c r="T21" s="32" t="str">
        <x:f>IF($A21="","",SUM($G21:INDEX($G21:$R21,1,'Asumsi'!$B$6)))</x:f>
      </x:c>
      <x:c r="U21" s="32" t="str">
        <x:f>IF($A21="","",ROUND(SUM(IF('Asumsi'!$B$6&gt;=1,$G21,'Input Anggaran'!$K21),IF('Asumsi'!$B$6&gt;=2,$H21,'Input Anggaran'!$L21),IF('Asumsi'!$B$6&gt;=3,$I21,'Input Anggaran'!$M21),IF('Asumsi'!$B$6&gt;=4,$J21,'Input Anggaran'!$N21),IF('Asumsi'!$B$6&gt;=5,$K21,'Input Anggaran'!$O21),IF('Asumsi'!$B$6&gt;=6,$L21,'Input Anggaran'!$P21),IF('Asumsi'!$B$6&gt;=7,$M21,'Input Anggaran'!$Q21),IF('Asumsi'!$B$6&gt;=8,$N21,'Input Anggaran'!$R21),IF('Asumsi'!$B$6&gt;=9,$O21,'Input Anggaran'!$S21),IF('Asumsi'!$B$6&gt;=10,$P21,'Input Anggaran'!$T21),IF('Asumsi'!$B$6&gt;=11,$Q21,'Input Anggaran'!$U21),IF('Asumsi'!$B$6&gt;=12,$R21,'Input Anggaran'!$V21)),0))</x:f>
      </x:c>
      <x:c r="V21" s="32" t="str">
        <x:f>IF($A21="","",$U21-$F21)</x:f>
      </x:c>
      <x:c r="W21" s="25" t="str">
        <x:f>IF($A21="","",IFERROR($V21/$F21,0))</x:f>
      </x:c>
      <x:c r="X21" s="24" t="str">
        <x:f>IF($A21="","",IF(ABS($W21)&gt;='Asumsi'!$B$12,"ESKALASI",IF(ABS($W21)&gt;='Asumsi'!$B$11,"TINJAU","TERKENDALI")))</x:f>
      </x:c>
      <x:c r="Y21" s="16"/>
    </x:row>
    <x:row r="22" ht="15" hidden="0" customHeight="1">
      <x:c r="A22" s="24" t="str">
        <x:f>IF('Input Anggaran'!A22="","",'Input Anggaran'!A22)</x:f>
      </x:c>
      <x:c r="B22" s="24" t="str">
        <x:f>IF('Input Anggaran'!A22="","",'Input Anggaran'!C22)</x:f>
      </x:c>
      <x:c r="C22" s="24" t="str">
        <x:f>IF('Input Anggaran'!A22="","",'Input Anggaran'!D22)</x:f>
      </x:c>
      <x:c r="D22" s="24" t="str">
        <x:f>IF('Input Anggaran'!A22="","",'Input Anggaran'!F22)</x:f>
      </x:c>
      <x:c r="E22" s="24" t="str">
        <x:f>IF('Input Anggaran'!A22="","",'Input Anggaran'!H22)</x:f>
      </x:c>
      <x:c r="F22" s="32" t="str">
        <x:f>IF('Input Anggaran'!A22="","",'Input Anggaran'!J22)</x:f>
      </x:c>
      <x:c r="G22" s="31" t="n">
        <x:v>0</x:v>
      </x:c>
      <x:c r="H22" s="31" t="n">
        <x:v>0</x:v>
      </x:c>
      <x:c r="I22" s="31" t="n">
        <x:v>0</x:v>
      </x:c>
      <x:c r="J22" s="31" t="n">
        <x:v>0</x:v>
      </x:c>
      <x:c r="K22" s="31" t="n">
        <x:v>0</x:v>
      </x:c>
      <x:c r="L22" s="31" t="n">
        <x:v>0</x:v>
      </x:c>
      <x:c r="M22" s="31" t="n">
        <x:v>0</x:v>
      </x:c>
      <x:c r="N22" s="31" t="n">
        <x:v>0</x:v>
      </x:c>
      <x:c r="O22" s="31" t="n">
        <x:v>0</x:v>
      </x:c>
      <x:c r="P22" s="31" t="n">
        <x:v>0</x:v>
      </x:c>
      <x:c r="Q22" s="31" t="n">
        <x:v>0</x:v>
      </x:c>
      <x:c r="R22" s="31" t="n">
        <x:v>0</x:v>
      </x:c>
      <x:c r="S22" s="32" t="str">
        <x:f>IF($A22="","",SUM('Input Anggaran'!$K22:INDEX('Input Anggaran'!$K22:$V22,1,'Asumsi'!$B$6)))</x:f>
      </x:c>
      <x:c r="T22" s="32" t="str">
        <x:f>IF($A22="","",SUM($G22:INDEX($G22:$R22,1,'Asumsi'!$B$6)))</x:f>
      </x:c>
      <x:c r="U22" s="32" t="str">
        <x:f>IF($A22="","",ROUND(SUM(IF('Asumsi'!$B$6&gt;=1,$G22,'Input Anggaran'!$K22),IF('Asumsi'!$B$6&gt;=2,$H22,'Input Anggaran'!$L22),IF('Asumsi'!$B$6&gt;=3,$I22,'Input Anggaran'!$M22),IF('Asumsi'!$B$6&gt;=4,$J22,'Input Anggaran'!$N22),IF('Asumsi'!$B$6&gt;=5,$K22,'Input Anggaran'!$O22),IF('Asumsi'!$B$6&gt;=6,$L22,'Input Anggaran'!$P22),IF('Asumsi'!$B$6&gt;=7,$M22,'Input Anggaran'!$Q22),IF('Asumsi'!$B$6&gt;=8,$N22,'Input Anggaran'!$R22),IF('Asumsi'!$B$6&gt;=9,$O22,'Input Anggaran'!$S22),IF('Asumsi'!$B$6&gt;=10,$P22,'Input Anggaran'!$T22),IF('Asumsi'!$B$6&gt;=11,$Q22,'Input Anggaran'!$U22),IF('Asumsi'!$B$6&gt;=12,$R22,'Input Anggaran'!$V22)),0))</x:f>
      </x:c>
      <x:c r="V22" s="32" t="str">
        <x:f>IF($A22="","",$U22-$F22)</x:f>
      </x:c>
      <x:c r="W22" s="25" t="str">
        <x:f>IF($A22="","",IFERROR($V22/$F22,0))</x:f>
      </x:c>
      <x:c r="X22" s="24" t="str">
        <x:f>IF($A22="","",IF(ABS($W22)&gt;='Asumsi'!$B$12,"ESKALASI",IF(ABS($W22)&gt;='Asumsi'!$B$11,"TINJAU","TERKENDALI")))</x:f>
      </x:c>
      <x:c r="Y22" s="16"/>
    </x:row>
    <x:row r="23" ht="15" hidden="0" customHeight="1">
      <x:c r="A23" s="24" t="str">
        <x:f>IF('Input Anggaran'!A23="","",'Input Anggaran'!A23)</x:f>
      </x:c>
      <x:c r="B23" s="24" t="str">
        <x:f>IF('Input Anggaran'!A23="","",'Input Anggaran'!C23)</x:f>
      </x:c>
      <x:c r="C23" s="24" t="str">
        <x:f>IF('Input Anggaran'!A23="","",'Input Anggaran'!D23)</x:f>
      </x:c>
      <x:c r="D23" s="24" t="str">
        <x:f>IF('Input Anggaran'!A23="","",'Input Anggaran'!F23)</x:f>
      </x:c>
      <x:c r="E23" s="24" t="str">
        <x:f>IF('Input Anggaran'!A23="","",'Input Anggaran'!H23)</x:f>
      </x:c>
      <x:c r="F23" s="32" t="str">
        <x:f>IF('Input Anggaran'!A23="","",'Input Anggaran'!J23)</x:f>
      </x:c>
      <x:c r="G23" s="31" t="n">
        <x:v>0</x:v>
      </x:c>
      <x:c r="H23" s="31" t="n">
        <x:v>0</x:v>
      </x:c>
      <x:c r="I23" s="31" t="n">
        <x:v>0</x:v>
      </x:c>
      <x:c r="J23" s="31" t="n">
        <x:v>0</x:v>
      </x:c>
      <x:c r="K23" s="31" t="n">
        <x:v>0</x:v>
      </x:c>
      <x:c r="L23" s="31" t="n">
        <x:v>0</x:v>
      </x:c>
      <x:c r="M23" s="31" t="n">
        <x:v>0</x:v>
      </x:c>
      <x:c r="N23" s="31" t="n">
        <x:v>0</x:v>
      </x:c>
      <x:c r="O23" s="31" t="n">
        <x:v>0</x:v>
      </x:c>
      <x:c r="P23" s="31" t="n">
        <x:v>0</x:v>
      </x:c>
      <x:c r="Q23" s="31" t="n">
        <x:v>0</x:v>
      </x:c>
      <x:c r="R23" s="31" t="n">
        <x:v>0</x:v>
      </x:c>
      <x:c r="S23" s="32" t="str">
        <x:f>IF($A23="","",SUM('Input Anggaran'!$K23:INDEX('Input Anggaran'!$K23:$V23,1,'Asumsi'!$B$6)))</x:f>
      </x:c>
      <x:c r="T23" s="32" t="str">
        <x:f>IF($A23="","",SUM($G23:INDEX($G23:$R23,1,'Asumsi'!$B$6)))</x:f>
      </x:c>
      <x:c r="U23" s="32" t="str">
        <x:f>IF($A23="","",ROUND(SUM(IF('Asumsi'!$B$6&gt;=1,$G23,'Input Anggaran'!$K23),IF('Asumsi'!$B$6&gt;=2,$H23,'Input Anggaran'!$L23),IF('Asumsi'!$B$6&gt;=3,$I23,'Input Anggaran'!$M23),IF('Asumsi'!$B$6&gt;=4,$J23,'Input Anggaran'!$N23),IF('Asumsi'!$B$6&gt;=5,$K23,'Input Anggaran'!$O23),IF('Asumsi'!$B$6&gt;=6,$L23,'Input Anggaran'!$P23),IF('Asumsi'!$B$6&gt;=7,$M23,'Input Anggaran'!$Q23),IF('Asumsi'!$B$6&gt;=8,$N23,'Input Anggaran'!$R23),IF('Asumsi'!$B$6&gt;=9,$O23,'Input Anggaran'!$S23),IF('Asumsi'!$B$6&gt;=10,$P23,'Input Anggaran'!$T23),IF('Asumsi'!$B$6&gt;=11,$Q23,'Input Anggaran'!$U23),IF('Asumsi'!$B$6&gt;=12,$R23,'Input Anggaran'!$V23)),0))</x:f>
      </x:c>
      <x:c r="V23" s="32" t="str">
        <x:f>IF($A23="","",$U23-$F23)</x:f>
      </x:c>
      <x:c r="W23" s="25" t="str">
        <x:f>IF($A23="","",IFERROR($V23/$F23,0))</x:f>
      </x:c>
      <x:c r="X23" s="24" t="str">
        <x:f>IF($A23="","",IF(ABS($W23)&gt;='Asumsi'!$B$12,"ESKALASI",IF(ABS($W23)&gt;='Asumsi'!$B$11,"TINJAU","TERKENDALI")))</x:f>
      </x:c>
      <x:c r="Y23" s="16"/>
    </x:row>
    <x:row r="24" ht="15" hidden="0" customHeight="1">
      <x:c r="A24" s="24" t="str">
        <x:f>IF('Input Anggaran'!A24="","",'Input Anggaran'!A24)</x:f>
      </x:c>
      <x:c r="B24" s="24" t="str">
        <x:f>IF('Input Anggaran'!A24="","",'Input Anggaran'!C24)</x:f>
      </x:c>
      <x:c r="C24" s="24" t="str">
        <x:f>IF('Input Anggaran'!A24="","",'Input Anggaran'!D24)</x:f>
      </x:c>
      <x:c r="D24" s="24" t="str">
        <x:f>IF('Input Anggaran'!A24="","",'Input Anggaran'!F24)</x:f>
      </x:c>
      <x:c r="E24" s="24" t="str">
        <x:f>IF('Input Anggaran'!A24="","",'Input Anggaran'!H24)</x:f>
      </x:c>
      <x:c r="F24" s="32" t="str">
        <x:f>IF('Input Anggaran'!A24="","",'Input Anggaran'!J24)</x:f>
      </x:c>
      <x:c r="G24" s="31" t="n">
        <x:v>0</x:v>
      </x:c>
      <x:c r="H24" s="31" t="n">
        <x:v>0</x:v>
      </x:c>
      <x:c r="I24" s="31" t="n">
        <x:v>0</x:v>
      </x:c>
      <x:c r="J24" s="31" t="n">
        <x:v>0</x:v>
      </x:c>
      <x:c r="K24" s="31" t="n">
        <x:v>0</x:v>
      </x:c>
      <x:c r="L24" s="31" t="n">
        <x:v>0</x:v>
      </x:c>
      <x:c r="M24" s="31" t="n">
        <x:v>0</x:v>
      </x:c>
      <x:c r="N24" s="31" t="n">
        <x:v>0</x:v>
      </x:c>
      <x:c r="O24" s="31" t="n">
        <x:v>0</x:v>
      </x:c>
      <x:c r="P24" s="31" t="n">
        <x:v>0</x:v>
      </x:c>
      <x:c r="Q24" s="31" t="n">
        <x:v>0</x:v>
      </x:c>
      <x:c r="R24" s="31" t="n">
        <x:v>0</x:v>
      </x:c>
      <x:c r="S24" s="32" t="str">
        <x:f>IF($A24="","",SUM('Input Anggaran'!$K24:INDEX('Input Anggaran'!$K24:$V24,1,'Asumsi'!$B$6)))</x:f>
      </x:c>
      <x:c r="T24" s="32" t="str">
        <x:f>IF($A24="","",SUM($G24:INDEX($G24:$R24,1,'Asumsi'!$B$6)))</x:f>
      </x:c>
      <x:c r="U24" s="32" t="str">
        <x:f>IF($A24="","",ROUND(SUM(IF('Asumsi'!$B$6&gt;=1,$G24,'Input Anggaran'!$K24),IF('Asumsi'!$B$6&gt;=2,$H24,'Input Anggaran'!$L24),IF('Asumsi'!$B$6&gt;=3,$I24,'Input Anggaran'!$M24),IF('Asumsi'!$B$6&gt;=4,$J24,'Input Anggaran'!$N24),IF('Asumsi'!$B$6&gt;=5,$K24,'Input Anggaran'!$O24),IF('Asumsi'!$B$6&gt;=6,$L24,'Input Anggaran'!$P24),IF('Asumsi'!$B$6&gt;=7,$M24,'Input Anggaran'!$Q24),IF('Asumsi'!$B$6&gt;=8,$N24,'Input Anggaran'!$R24),IF('Asumsi'!$B$6&gt;=9,$O24,'Input Anggaran'!$S24),IF('Asumsi'!$B$6&gt;=10,$P24,'Input Anggaran'!$T24),IF('Asumsi'!$B$6&gt;=11,$Q24,'Input Anggaran'!$U24),IF('Asumsi'!$B$6&gt;=12,$R24,'Input Anggaran'!$V24)),0))</x:f>
      </x:c>
      <x:c r="V24" s="32" t="str">
        <x:f>IF($A24="","",$U24-$F24)</x:f>
      </x:c>
      <x:c r="W24" s="25" t="str">
        <x:f>IF($A24="","",IFERROR($V24/$F24,0))</x:f>
      </x:c>
      <x:c r="X24" s="24" t="str">
        <x:f>IF($A24="","",IF(ABS($W24)&gt;='Asumsi'!$B$12,"ESKALASI",IF(ABS($W24)&gt;='Asumsi'!$B$11,"TINJAU","TERKENDALI")))</x:f>
      </x:c>
      <x:c r="Y24" s="16"/>
    </x:row>
    <x:row r="25" ht="15" hidden="0" customHeight="1">
      <x:c r="A25" s="24" t="str">
        <x:f>IF('Input Anggaran'!A25="","",'Input Anggaran'!A25)</x:f>
      </x:c>
      <x:c r="B25" s="24" t="str">
        <x:f>IF('Input Anggaran'!A25="","",'Input Anggaran'!C25)</x:f>
      </x:c>
      <x:c r="C25" s="24" t="str">
        <x:f>IF('Input Anggaran'!A25="","",'Input Anggaran'!D25)</x:f>
      </x:c>
      <x:c r="D25" s="24" t="str">
        <x:f>IF('Input Anggaran'!A25="","",'Input Anggaran'!F25)</x:f>
      </x:c>
      <x:c r="E25" s="24" t="str">
        <x:f>IF('Input Anggaran'!A25="","",'Input Anggaran'!H25)</x:f>
      </x:c>
      <x:c r="F25" s="32" t="str">
        <x:f>IF('Input Anggaran'!A25="","",'Input Anggaran'!J25)</x:f>
      </x:c>
      <x:c r="G25" s="31" t="n">
        <x:v>0</x:v>
      </x:c>
      <x:c r="H25" s="31" t="n">
        <x:v>0</x:v>
      </x:c>
      <x:c r="I25" s="31" t="n">
        <x:v>0</x:v>
      </x:c>
      <x:c r="J25" s="31" t="n">
        <x:v>0</x:v>
      </x:c>
      <x:c r="K25" s="31" t="n">
        <x:v>0</x:v>
      </x:c>
      <x:c r="L25" s="31" t="n">
        <x:v>0</x:v>
      </x:c>
      <x:c r="M25" s="31" t="n">
        <x:v>0</x:v>
      </x:c>
      <x:c r="N25" s="31" t="n">
        <x:v>0</x:v>
      </x:c>
      <x:c r="O25" s="31" t="n">
        <x:v>0</x:v>
      </x:c>
      <x:c r="P25" s="31" t="n">
        <x:v>0</x:v>
      </x:c>
      <x:c r="Q25" s="31" t="n">
        <x:v>0</x:v>
      </x:c>
      <x:c r="R25" s="31" t="n">
        <x:v>0</x:v>
      </x:c>
      <x:c r="S25" s="32" t="str">
        <x:f>IF($A25="","",SUM('Input Anggaran'!$K25:INDEX('Input Anggaran'!$K25:$V25,1,'Asumsi'!$B$6)))</x:f>
      </x:c>
      <x:c r="T25" s="32" t="str">
        <x:f>IF($A25="","",SUM($G25:INDEX($G25:$R25,1,'Asumsi'!$B$6)))</x:f>
      </x:c>
      <x:c r="U25" s="32" t="str">
        <x:f>IF($A25="","",ROUND(SUM(IF('Asumsi'!$B$6&gt;=1,$G25,'Input Anggaran'!$K25),IF('Asumsi'!$B$6&gt;=2,$H25,'Input Anggaran'!$L25),IF('Asumsi'!$B$6&gt;=3,$I25,'Input Anggaran'!$M25),IF('Asumsi'!$B$6&gt;=4,$J25,'Input Anggaran'!$N25),IF('Asumsi'!$B$6&gt;=5,$K25,'Input Anggaran'!$O25),IF('Asumsi'!$B$6&gt;=6,$L25,'Input Anggaran'!$P25),IF('Asumsi'!$B$6&gt;=7,$M25,'Input Anggaran'!$Q25),IF('Asumsi'!$B$6&gt;=8,$N25,'Input Anggaran'!$R25),IF('Asumsi'!$B$6&gt;=9,$O25,'Input Anggaran'!$S25),IF('Asumsi'!$B$6&gt;=10,$P25,'Input Anggaran'!$T25),IF('Asumsi'!$B$6&gt;=11,$Q25,'Input Anggaran'!$U25),IF('Asumsi'!$B$6&gt;=12,$R25,'Input Anggaran'!$V25)),0))</x:f>
      </x:c>
      <x:c r="V25" s="32" t="str">
        <x:f>IF($A25="","",$U25-$F25)</x:f>
      </x:c>
      <x:c r="W25" s="25" t="str">
        <x:f>IF($A25="","",IFERROR($V25/$F25,0))</x:f>
      </x:c>
      <x:c r="X25" s="24" t="str">
        <x:f>IF($A25="","",IF(ABS($W25)&gt;='Asumsi'!$B$12,"ESKALASI",IF(ABS($W25)&gt;='Asumsi'!$B$11,"TINJAU","TERKENDALI")))</x:f>
      </x:c>
      <x:c r="Y25" s="16"/>
    </x:row>
    <x:row r="26" ht="15" hidden="0" customHeight="1">
      <x:c r="A26" s="24" t="str">
        <x:f>IF('Input Anggaran'!A26="","",'Input Anggaran'!A26)</x:f>
      </x:c>
      <x:c r="B26" s="24" t="str">
        <x:f>IF('Input Anggaran'!A26="","",'Input Anggaran'!C26)</x:f>
      </x:c>
      <x:c r="C26" s="24" t="str">
        <x:f>IF('Input Anggaran'!A26="","",'Input Anggaran'!D26)</x:f>
      </x:c>
      <x:c r="D26" s="24" t="str">
        <x:f>IF('Input Anggaran'!A26="","",'Input Anggaran'!F26)</x:f>
      </x:c>
      <x:c r="E26" s="24" t="str">
        <x:f>IF('Input Anggaran'!A26="","",'Input Anggaran'!H26)</x:f>
      </x:c>
      <x:c r="F26" s="32" t="str">
        <x:f>IF('Input Anggaran'!A26="","",'Input Anggaran'!J26)</x:f>
      </x:c>
      <x:c r="G26" s="31" t="n">
        <x:v>0</x:v>
      </x:c>
      <x:c r="H26" s="31" t="n">
        <x:v>0</x:v>
      </x:c>
      <x:c r="I26" s="31" t="n">
        <x:v>0</x:v>
      </x:c>
      <x:c r="J26" s="31" t="n">
        <x:v>0</x:v>
      </x:c>
      <x:c r="K26" s="31" t="n">
        <x:v>0</x:v>
      </x:c>
      <x:c r="L26" s="31" t="n">
        <x:v>0</x:v>
      </x:c>
      <x:c r="M26" s="31" t="n">
        <x:v>0</x:v>
      </x:c>
      <x:c r="N26" s="31" t="n">
        <x:v>0</x:v>
      </x:c>
      <x:c r="O26" s="31" t="n">
        <x:v>0</x:v>
      </x:c>
      <x:c r="P26" s="31" t="n">
        <x:v>0</x:v>
      </x:c>
      <x:c r="Q26" s="31" t="n">
        <x:v>0</x:v>
      </x:c>
      <x:c r="R26" s="31" t="n">
        <x:v>0</x:v>
      </x:c>
      <x:c r="S26" s="32" t="str">
        <x:f>IF($A26="","",SUM('Input Anggaran'!$K26:INDEX('Input Anggaran'!$K26:$V26,1,'Asumsi'!$B$6)))</x:f>
      </x:c>
      <x:c r="T26" s="32" t="str">
        <x:f>IF($A26="","",SUM($G26:INDEX($G26:$R26,1,'Asumsi'!$B$6)))</x:f>
      </x:c>
      <x:c r="U26" s="32" t="str">
        <x:f>IF($A26="","",ROUND(SUM(IF('Asumsi'!$B$6&gt;=1,$G26,'Input Anggaran'!$K26),IF('Asumsi'!$B$6&gt;=2,$H26,'Input Anggaran'!$L26),IF('Asumsi'!$B$6&gt;=3,$I26,'Input Anggaran'!$M26),IF('Asumsi'!$B$6&gt;=4,$J26,'Input Anggaran'!$N26),IF('Asumsi'!$B$6&gt;=5,$K26,'Input Anggaran'!$O26),IF('Asumsi'!$B$6&gt;=6,$L26,'Input Anggaran'!$P26),IF('Asumsi'!$B$6&gt;=7,$M26,'Input Anggaran'!$Q26),IF('Asumsi'!$B$6&gt;=8,$N26,'Input Anggaran'!$R26),IF('Asumsi'!$B$6&gt;=9,$O26,'Input Anggaran'!$S26),IF('Asumsi'!$B$6&gt;=10,$P26,'Input Anggaran'!$T26),IF('Asumsi'!$B$6&gt;=11,$Q26,'Input Anggaran'!$U26),IF('Asumsi'!$B$6&gt;=12,$R26,'Input Anggaran'!$V26)),0))</x:f>
      </x:c>
      <x:c r="V26" s="32" t="str">
        <x:f>IF($A26="","",$U26-$F26)</x:f>
      </x:c>
      <x:c r="W26" s="25" t="str">
        <x:f>IF($A26="","",IFERROR($V26/$F26,0))</x:f>
      </x:c>
      <x:c r="X26" s="24" t="str">
        <x:f>IF($A26="","",IF(ABS($W26)&gt;='Asumsi'!$B$12,"ESKALASI",IF(ABS($W26)&gt;='Asumsi'!$B$11,"TINJAU","TERKENDALI")))</x:f>
      </x:c>
      <x:c r="Y26" s="16"/>
    </x:row>
    <x:row r="27" ht="15" hidden="0" customHeight="1">
      <x:c r="A27" s="24" t="str">
        <x:f>IF('Input Anggaran'!A27="","",'Input Anggaran'!A27)</x:f>
      </x:c>
      <x:c r="B27" s="24" t="str">
        <x:f>IF('Input Anggaran'!A27="","",'Input Anggaran'!C27)</x:f>
      </x:c>
      <x:c r="C27" s="24" t="str">
        <x:f>IF('Input Anggaran'!A27="","",'Input Anggaran'!D27)</x:f>
      </x:c>
      <x:c r="D27" s="24" t="str">
        <x:f>IF('Input Anggaran'!A27="","",'Input Anggaran'!F27)</x:f>
      </x:c>
      <x:c r="E27" s="24" t="str">
        <x:f>IF('Input Anggaran'!A27="","",'Input Anggaran'!H27)</x:f>
      </x:c>
      <x:c r="F27" s="32" t="str">
        <x:f>IF('Input Anggaran'!A27="","",'Input Anggaran'!J27)</x:f>
      </x:c>
      <x:c r="G27" s="31" t="n">
        <x:v>0</x:v>
      </x:c>
      <x:c r="H27" s="31" t="n">
        <x:v>0</x:v>
      </x:c>
      <x:c r="I27" s="31" t="n">
        <x:v>0</x:v>
      </x:c>
      <x:c r="J27" s="31" t="n">
        <x:v>0</x:v>
      </x:c>
      <x:c r="K27" s="31" t="n">
        <x:v>0</x:v>
      </x:c>
      <x:c r="L27" s="31" t="n">
        <x:v>0</x:v>
      </x:c>
      <x:c r="M27" s="31" t="n">
        <x:v>0</x:v>
      </x:c>
      <x:c r="N27" s="31" t="n">
        <x:v>0</x:v>
      </x:c>
      <x:c r="O27" s="31" t="n">
        <x:v>0</x:v>
      </x:c>
      <x:c r="P27" s="31" t="n">
        <x:v>0</x:v>
      </x:c>
      <x:c r="Q27" s="31" t="n">
        <x:v>0</x:v>
      </x:c>
      <x:c r="R27" s="31" t="n">
        <x:v>0</x:v>
      </x:c>
      <x:c r="S27" s="32" t="str">
        <x:f>IF($A27="","",SUM('Input Anggaran'!$K27:INDEX('Input Anggaran'!$K27:$V27,1,'Asumsi'!$B$6)))</x:f>
      </x:c>
      <x:c r="T27" s="32" t="str">
        <x:f>IF($A27="","",SUM($G27:INDEX($G27:$R27,1,'Asumsi'!$B$6)))</x:f>
      </x:c>
      <x:c r="U27" s="32" t="str">
        <x:f>IF($A27="","",ROUND(SUM(IF('Asumsi'!$B$6&gt;=1,$G27,'Input Anggaran'!$K27),IF('Asumsi'!$B$6&gt;=2,$H27,'Input Anggaran'!$L27),IF('Asumsi'!$B$6&gt;=3,$I27,'Input Anggaran'!$M27),IF('Asumsi'!$B$6&gt;=4,$J27,'Input Anggaran'!$N27),IF('Asumsi'!$B$6&gt;=5,$K27,'Input Anggaran'!$O27),IF('Asumsi'!$B$6&gt;=6,$L27,'Input Anggaran'!$P27),IF('Asumsi'!$B$6&gt;=7,$M27,'Input Anggaran'!$Q27),IF('Asumsi'!$B$6&gt;=8,$N27,'Input Anggaran'!$R27),IF('Asumsi'!$B$6&gt;=9,$O27,'Input Anggaran'!$S27),IF('Asumsi'!$B$6&gt;=10,$P27,'Input Anggaran'!$T27),IF('Asumsi'!$B$6&gt;=11,$Q27,'Input Anggaran'!$U27),IF('Asumsi'!$B$6&gt;=12,$R27,'Input Anggaran'!$V27)),0))</x:f>
      </x:c>
      <x:c r="V27" s="32" t="str">
        <x:f>IF($A27="","",$U27-$F27)</x:f>
      </x:c>
      <x:c r="W27" s="25" t="str">
        <x:f>IF($A27="","",IFERROR($V27/$F27,0))</x:f>
      </x:c>
      <x:c r="X27" s="24" t="str">
        <x:f>IF($A27="","",IF(ABS($W27)&gt;='Asumsi'!$B$12,"ESKALASI",IF(ABS($W27)&gt;='Asumsi'!$B$11,"TINJAU","TERKENDALI")))</x:f>
      </x:c>
      <x:c r="Y27" s="16"/>
    </x:row>
    <x:row r="28" ht="15" hidden="0" customHeight="1">
      <x:c r="A28" s="24" t="str">
        <x:f>IF('Input Anggaran'!A28="","",'Input Anggaran'!A28)</x:f>
      </x:c>
      <x:c r="B28" s="24" t="str">
        <x:f>IF('Input Anggaran'!A28="","",'Input Anggaran'!C28)</x:f>
      </x:c>
      <x:c r="C28" s="24" t="str">
        <x:f>IF('Input Anggaran'!A28="","",'Input Anggaran'!D28)</x:f>
      </x:c>
      <x:c r="D28" s="24" t="str">
        <x:f>IF('Input Anggaran'!A28="","",'Input Anggaran'!F28)</x:f>
      </x:c>
      <x:c r="E28" s="24" t="str">
        <x:f>IF('Input Anggaran'!A28="","",'Input Anggaran'!H28)</x:f>
      </x:c>
      <x:c r="F28" s="32" t="str">
        <x:f>IF('Input Anggaran'!A28="","",'Input Anggaran'!J28)</x:f>
      </x:c>
      <x:c r="G28" s="31" t="n">
        <x:v>0</x:v>
      </x:c>
      <x:c r="H28" s="31" t="n">
        <x:v>0</x:v>
      </x:c>
      <x:c r="I28" s="31" t="n">
        <x:v>0</x:v>
      </x:c>
      <x:c r="J28" s="31" t="n">
        <x:v>0</x:v>
      </x:c>
      <x:c r="K28" s="31" t="n">
        <x:v>0</x:v>
      </x:c>
      <x:c r="L28" s="31" t="n">
        <x:v>0</x:v>
      </x:c>
      <x:c r="M28" s="31" t="n">
        <x:v>0</x:v>
      </x:c>
      <x:c r="N28" s="31" t="n">
        <x:v>0</x:v>
      </x:c>
      <x:c r="O28" s="31" t="n">
        <x:v>0</x:v>
      </x:c>
      <x:c r="P28" s="31" t="n">
        <x:v>0</x:v>
      </x:c>
      <x:c r="Q28" s="31" t="n">
        <x:v>0</x:v>
      </x:c>
      <x:c r="R28" s="31" t="n">
        <x:v>0</x:v>
      </x:c>
      <x:c r="S28" s="32" t="str">
        <x:f>IF($A28="","",SUM('Input Anggaran'!$K28:INDEX('Input Anggaran'!$K28:$V28,1,'Asumsi'!$B$6)))</x:f>
      </x:c>
      <x:c r="T28" s="32" t="str">
        <x:f>IF($A28="","",SUM($G28:INDEX($G28:$R28,1,'Asumsi'!$B$6)))</x:f>
      </x:c>
      <x:c r="U28" s="32" t="str">
        <x:f>IF($A28="","",ROUND(SUM(IF('Asumsi'!$B$6&gt;=1,$G28,'Input Anggaran'!$K28),IF('Asumsi'!$B$6&gt;=2,$H28,'Input Anggaran'!$L28),IF('Asumsi'!$B$6&gt;=3,$I28,'Input Anggaran'!$M28),IF('Asumsi'!$B$6&gt;=4,$J28,'Input Anggaran'!$N28),IF('Asumsi'!$B$6&gt;=5,$K28,'Input Anggaran'!$O28),IF('Asumsi'!$B$6&gt;=6,$L28,'Input Anggaran'!$P28),IF('Asumsi'!$B$6&gt;=7,$M28,'Input Anggaran'!$Q28),IF('Asumsi'!$B$6&gt;=8,$N28,'Input Anggaran'!$R28),IF('Asumsi'!$B$6&gt;=9,$O28,'Input Anggaran'!$S28),IF('Asumsi'!$B$6&gt;=10,$P28,'Input Anggaran'!$T28),IF('Asumsi'!$B$6&gt;=11,$Q28,'Input Anggaran'!$U28),IF('Asumsi'!$B$6&gt;=12,$R28,'Input Anggaran'!$V28)),0))</x:f>
      </x:c>
      <x:c r="V28" s="32" t="str">
        <x:f>IF($A28="","",$U28-$F28)</x:f>
      </x:c>
      <x:c r="W28" s="25" t="str">
        <x:f>IF($A28="","",IFERROR($V28/$F28,0))</x:f>
      </x:c>
      <x:c r="X28" s="24" t="str">
        <x:f>IF($A28="","",IF(ABS($W28)&gt;='Asumsi'!$B$12,"ESKALASI",IF(ABS($W28)&gt;='Asumsi'!$B$11,"TINJAU","TERKENDALI")))</x:f>
      </x:c>
      <x:c r="Y28" s="16"/>
    </x:row>
    <x:row r="29" ht="15" hidden="0" customHeight="1">
      <x:c r="A29" s="24" t="str">
        <x:f>IF('Input Anggaran'!A29="","",'Input Anggaran'!A29)</x:f>
      </x:c>
      <x:c r="B29" s="24" t="str">
        <x:f>IF('Input Anggaran'!A29="","",'Input Anggaran'!C29)</x:f>
      </x:c>
      <x:c r="C29" s="24" t="str">
        <x:f>IF('Input Anggaran'!A29="","",'Input Anggaran'!D29)</x:f>
      </x:c>
      <x:c r="D29" s="24" t="str">
        <x:f>IF('Input Anggaran'!A29="","",'Input Anggaran'!F29)</x:f>
      </x:c>
      <x:c r="E29" s="24" t="str">
        <x:f>IF('Input Anggaran'!A29="","",'Input Anggaran'!H29)</x:f>
      </x:c>
      <x:c r="F29" s="32" t="str">
        <x:f>IF('Input Anggaran'!A29="","",'Input Anggaran'!J29)</x:f>
      </x:c>
      <x:c r="G29" s="31" t="n">
        <x:v>0</x:v>
      </x:c>
      <x:c r="H29" s="31" t="n">
        <x:v>0</x:v>
      </x:c>
      <x:c r="I29" s="31" t="n">
        <x:v>0</x:v>
      </x:c>
      <x:c r="J29" s="31" t="n">
        <x:v>0</x:v>
      </x:c>
      <x:c r="K29" s="31" t="n">
        <x:v>0</x:v>
      </x:c>
      <x:c r="L29" s="31" t="n">
        <x:v>0</x:v>
      </x:c>
      <x:c r="M29" s="31" t="n">
        <x:v>0</x:v>
      </x:c>
      <x:c r="N29" s="31" t="n">
        <x:v>0</x:v>
      </x:c>
      <x:c r="O29" s="31" t="n">
        <x:v>0</x:v>
      </x:c>
      <x:c r="P29" s="31" t="n">
        <x:v>0</x:v>
      </x:c>
      <x:c r="Q29" s="31" t="n">
        <x:v>0</x:v>
      </x:c>
      <x:c r="R29" s="31" t="n">
        <x:v>0</x:v>
      </x:c>
      <x:c r="S29" s="32" t="str">
        <x:f>IF($A29="","",SUM('Input Anggaran'!$K29:INDEX('Input Anggaran'!$K29:$V29,1,'Asumsi'!$B$6)))</x:f>
      </x:c>
      <x:c r="T29" s="32" t="str">
        <x:f>IF($A29="","",SUM($G29:INDEX($G29:$R29,1,'Asumsi'!$B$6)))</x:f>
      </x:c>
      <x:c r="U29" s="32" t="str">
        <x:f>IF($A29="","",ROUND(SUM(IF('Asumsi'!$B$6&gt;=1,$G29,'Input Anggaran'!$K29),IF('Asumsi'!$B$6&gt;=2,$H29,'Input Anggaran'!$L29),IF('Asumsi'!$B$6&gt;=3,$I29,'Input Anggaran'!$M29),IF('Asumsi'!$B$6&gt;=4,$J29,'Input Anggaran'!$N29),IF('Asumsi'!$B$6&gt;=5,$K29,'Input Anggaran'!$O29),IF('Asumsi'!$B$6&gt;=6,$L29,'Input Anggaran'!$P29),IF('Asumsi'!$B$6&gt;=7,$M29,'Input Anggaran'!$Q29),IF('Asumsi'!$B$6&gt;=8,$N29,'Input Anggaran'!$R29),IF('Asumsi'!$B$6&gt;=9,$O29,'Input Anggaran'!$S29),IF('Asumsi'!$B$6&gt;=10,$P29,'Input Anggaran'!$T29),IF('Asumsi'!$B$6&gt;=11,$Q29,'Input Anggaran'!$U29),IF('Asumsi'!$B$6&gt;=12,$R29,'Input Anggaran'!$V29)),0))</x:f>
      </x:c>
      <x:c r="V29" s="32" t="str">
        <x:f>IF($A29="","",$U29-$F29)</x:f>
      </x:c>
      <x:c r="W29" s="25" t="str">
        <x:f>IF($A29="","",IFERROR($V29/$F29,0))</x:f>
      </x:c>
      <x:c r="X29" s="24" t="str">
        <x:f>IF($A29="","",IF(ABS($W29)&gt;='Asumsi'!$B$12,"ESKALASI",IF(ABS($W29)&gt;='Asumsi'!$B$11,"TINJAU","TERKENDALI")))</x:f>
      </x:c>
      <x:c r="Y29" s="16"/>
    </x:row>
    <x:row r="30" ht="15" hidden="0" customHeight="1">
      <x:c r="A30" s="24" t="str">
        <x:f>IF('Input Anggaran'!A30="","",'Input Anggaran'!A30)</x:f>
      </x:c>
      <x:c r="B30" s="24" t="str">
        <x:f>IF('Input Anggaran'!A30="","",'Input Anggaran'!C30)</x:f>
      </x:c>
      <x:c r="C30" s="24" t="str">
        <x:f>IF('Input Anggaran'!A30="","",'Input Anggaran'!D30)</x:f>
      </x:c>
      <x:c r="D30" s="24" t="str">
        <x:f>IF('Input Anggaran'!A30="","",'Input Anggaran'!F30)</x:f>
      </x:c>
      <x:c r="E30" s="24" t="str">
        <x:f>IF('Input Anggaran'!A30="","",'Input Anggaran'!H30)</x:f>
      </x:c>
      <x:c r="F30" s="32" t="str">
        <x:f>IF('Input Anggaran'!A30="","",'Input Anggaran'!J30)</x:f>
      </x:c>
      <x:c r="G30" s="31" t="n">
        <x:v>0</x:v>
      </x:c>
      <x:c r="H30" s="31" t="n">
        <x:v>0</x:v>
      </x:c>
      <x:c r="I30" s="31" t="n">
        <x:v>0</x:v>
      </x:c>
      <x:c r="J30" s="31" t="n">
        <x:v>0</x:v>
      </x:c>
      <x:c r="K30" s="31" t="n">
        <x:v>0</x:v>
      </x:c>
      <x:c r="L30" s="31" t="n">
        <x:v>0</x:v>
      </x:c>
      <x:c r="M30" s="31" t="n">
        <x:v>0</x:v>
      </x:c>
      <x:c r="N30" s="31" t="n">
        <x:v>0</x:v>
      </x:c>
      <x:c r="O30" s="31" t="n">
        <x:v>0</x:v>
      </x:c>
      <x:c r="P30" s="31" t="n">
        <x:v>0</x:v>
      </x:c>
      <x:c r="Q30" s="31" t="n">
        <x:v>0</x:v>
      </x:c>
      <x:c r="R30" s="31" t="n">
        <x:v>0</x:v>
      </x:c>
      <x:c r="S30" s="32" t="str">
        <x:f>IF($A30="","",SUM('Input Anggaran'!$K30:INDEX('Input Anggaran'!$K30:$V30,1,'Asumsi'!$B$6)))</x:f>
      </x:c>
      <x:c r="T30" s="32" t="str">
        <x:f>IF($A30="","",SUM($G30:INDEX($G30:$R30,1,'Asumsi'!$B$6)))</x:f>
      </x:c>
      <x:c r="U30" s="32" t="str">
        <x:f>IF($A30="","",ROUND(SUM(IF('Asumsi'!$B$6&gt;=1,$G30,'Input Anggaran'!$K30),IF('Asumsi'!$B$6&gt;=2,$H30,'Input Anggaran'!$L30),IF('Asumsi'!$B$6&gt;=3,$I30,'Input Anggaran'!$M30),IF('Asumsi'!$B$6&gt;=4,$J30,'Input Anggaran'!$N30),IF('Asumsi'!$B$6&gt;=5,$K30,'Input Anggaran'!$O30),IF('Asumsi'!$B$6&gt;=6,$L30,'Input Anggaran'!$P30),IF('Asumsi'!$B$6&gt;=7,$M30,'Input Anggaran'!$Q30),IF('Asumsi'!$B$6&gt;=8,$N30,'Input Anggaran'!$R30),IF('Asumsi'!$B$6&gt;=9,$O30,'Input Anggaran'!$S30),IF('Asumsi'!$B$6&gt;=10,$P30,'Input Anggaran'!$T30),IF('Asumsi'!$B$6&gt;=11,$Q30,'Input Anggaran'!$U30),IF('Asumsi'!$B$6&gt;=12,$R30,'Input Anggaran'!$V30)),0))</x:f>
      </x:c>
      <x:c r="V30" s="32" t="str">
        <x:f>IF($A30="","",$U30-$F30)</x:f>
      </x:c>
      <x:c r="W30" s="25" t="str">
        <x:f>IF($A30="","",IFERROR($V30/$F30,0))</x:f>
      </x:c>
      <x:c r="X30" s="24" t="str">
        <x:f>IF($A30="","",IF(ABS($W30)&gt;='Asumsi'!$B$12,"ESKALASI",IF(ABS($W30)&gt;='Asumsi'!$B$11,"TINJAU","TERKENDALI")))</x:f>
      </x:c>
      <x:c r="Y30" s="16"/>
    </x:row>
    <x:row r="31" ht="15" hidden="0" customHeight="1">
      <x:c r="A31" s="24" t="str">
        <x:f>IF('Input Anggaran'!A31="","",'Input Anggaran'!A31)</x:f>
      </x:c>
      <x:c r="B31" s="24" t="str">
        <x:f>IF('Input Anggaran'!A31="","",'Input Anggaran'!C31)</x:f>
      </x:c>
      <x:c r="C31" s="24" t="str">
        <x:f>IF('Input Anggaran'!A31="","",'Input Anggaran'!D31)</x:f>
      </x:c>
      <x:c r="D31" s="24" t="str">
        <x:f>IF('Input Anggaran'!A31="","",'Input Anggaran'!F31)</x:f>
      </x:c>
      <x:c r="E31" s="24" t="str">
        <x:f>IF('Input Anggaran'!A31="","",'Input Anggaran'!H31)</x:f>
      </x:c>
      <x:c r="F31" s="32" t="str">
        <x:f>IF('Input Anggaran'!A31="","",'Input Anggaran'!J31)</x:f>
      </x:c>
      <x:c r="G31" s="31" t="n">
        <x:v>0</x:v>
      </x:c>
      <x:c r="H31" s="31" t="n">
        <x:v>0</x:v>
      </x:c>
      <x:c r="I31" s="31" t="n">
        <x:v>0</x:v>
      </x:c>
      <x:c r="J31" s="31" t="n">
        <x:v>0</x:v>
      </x:c>
      <x:c r="K31" s="31" t="n">
        <x:v>0</x:v>
      </x:c>
      <x:c r="L31" s="31" t="n">
        <x:v>0</x:v>
      </x:c>
      <x:c r="M31" s="31" t="n">
        <x:v>0</x:v>
      </x:c>
      <x:c r="N31" s="31" t="n">
        <x:v>0</x:v>
      </x:c>
      <x:c r="O31" s="31" t="n">
        <x:v>0</x:v>
      </x:c>
      <x:c r="P31" s="31" t="n">
        <x:v>0</x:v>
      </x:c>
      <x:c r="Q31" s="31" t="n">
        <x:v>0</x:v>
      </x:c>
      <x:c r="R31" s="31" t="n">
        <x:v>0</x:v>
      </x:c>
      <x:c r="S31" s="32" t="str">
        <x:f>IF($A31="","",SUM('Input Anggaran'!$K31:INDEX('Input Anggaran'!$K31:$V31,1,'Asumsi'!$B$6)))</x:f>
      </x:c>
      <x:c r="T31" s="32" t="str">
        <x:f>IF($A31="","",SUM($G31:INDEX($G31:$R31,1,'Asumsi'!$B$6)))</x:f>
      </x:c>
      <x:c r="U31" s="32" t="str">
        <x:f>IF($A31="","",ROUND(SUM(IF('Asumsi'!$B$6&gt;=1,$G31,'Input Anggaran'!$K31),IF('Asumsi'!$B$6&gt;=2,$H31,'Input Anggaran'!$L31),IF('Asumsi'!$B$6&gt;=3,$I31,'Input Anggaran'!$M31),IF('Asumsi'!$B$6&gt;=4,$J31,'Input Anggaran'!$N31),IF('Asumsi'!$B$6&gt;=5,$K31,'Input Anggaran'!$O31),IF('Asumsi'!$B$6&gt;=6,$L31,'Input Anggaran'!$P31),IF('Asumsi'!$B$6&gt;=7,$M31,'Input Anggaran'!$Q31),IF('Asumsi'!$B$6&gt;=8,$N31,'Input Anggaran'!$R31),IF('Asumsi'!$B$6&gt;=9,$O31,'Input Anggaran'!$S31),IF('Asumsi'!$B$6&gt;=10,$P31,'Input Anggaran'!$T31),IF('Asumsi'!$B$6&gt;=11,$Q31,'Input Anggaran'!$U31),IF('Asumsi'!$B$6&gt;=12,$R31,'Input Anggaran'!$V31)),0))</x:f>
      </x:c>
      <x:c r="V31" s="32" t="str">
        <x:f>IF($A31="","",$U31-$F31)</x:f>
      </x:c>
      <x:c r="W31" s="25" t="str">
        <x:f>IF($A31="","",IFERROR($V31/$F31,0))</x:f>
      </x:c>
      <x:c r="X31" s="24" t="str">
        <x:f>IF($A31="","",IF(ABS($W31)&gt;='Asumsi'!$B$12,"ESKALASI",IF(ABS($W31)&gt;='Asumsi'!$B$11,"TINJAU","TERKENDALI")))</x:f>
      </x:c>
      <x:c r="Y31" s="16"/>
    </x:row>
    <x:row r="32" ht="15" hidden="0" customHeight="1">
      <x:c r="A32" s="24" t="str">
        <x:f>IF('Input Anggaran'!A32="","",'Input Anggaran'!A32)</x:f>
      </x:c>
      <x:c r="B32" s="24" t="str">
        <x:f>IF('Input Anggaran'!A32="","",'Input Anggaran'!C32)</x:f>
      </x:c>
      <x:c r="C32" s="24" t="str">
        <x:f>IF('Input Anggaran'!A32="","",'Input Anggaran'!D32)</x:f>
      </x:c>
      <x:c r="D32" s="24" t="str">
        <x:f>IF('Input Anggaran'!A32="","",'Input Anggaran'!F32)</x:f>
      </x:c>
      <x:c r="E32" s="24" t="str">
        <x:f>IF('Input Anggaran'!A32="","",'Input Anggaran'!H32)</x:f>
      </x:c>
      <x:c r="F32" s="32" t="str">
        <x:f>IF('Input Anggaran'!A32="","",'Input Anggaran'!J32)</x:f>
      </x:c>
      <x:c r="G32" s="31" t="n">
        <x:v>0</x:v>
      </x:c>
      <x:c r="H32" s="31" t="n">
        <x:v>0</x:v>
      </x:c>
      <x:c r="I32" s="31" t="n">
        <x:v>0</x:v>
      </x:c>
      <x:c r="J32" s="31" t="n">
        <x:v>0</x:v>
      </x:c>
      <x:c r="K32" s="31" t="n">
        <x:v>0</x:v>
      </x:c>
      <x:c r="L32" s="31" t="n">
        <x:v>0</x:v>
      </x:c>
      <x:c r="M32" s="31" t="n">
        <x:v>0</x:v>
      </x:c>
      <x:c r="N32" s="31" t="n">
        <x:v>0</x:v>
      </x:c>
      <x:c r="O32" s="31" t="n">
        <x:v>0</x:v>
      </x:c>
      <x:c r="P32" s="31" t="n">
        <x:v>0</x:v>
      </x:c>
      <x:c r="Q32" s="31" t="n">
        <x:v>0</x:v>
      </x:c>
      <x:c r="R32" s="31" t="n">
        <x:v>0</x:v>
      </x:c>
      <x:c r="S32" s="32" t="str">
        <x:f>IF($A32="","",SUM('Input Anggaran'!$K32:INDEX('Input Anggaran'!$K32:$V32,1,'Asumsi'!$B$6)))</x:f>
      </x:c>
      <x:c r="T32" s="32" t="str">
        <x:f>IF($A32="","",SUM($G32:INDEX($G32:$R32,1,'Asumsi'!$B$6)))</x:f>
      </x:c>
      <x:c r="U32" s="32" t="str">
        <x:f>IF($A32="","",ROUND(SUM(IF('Asumsi'!$B$6&gt;=1,$G32,'Input Anggaran'!$K32),IF('Asumsi'!$B$6&gt;=2,$H32,'Input Anggaran'!$L32),IF('Asumsi'!$B$6&gt;=3,$I32,'Input Anggaran'!$M32),IF('Asumsi'!$B$6&gt;=4,$J32,'Input Anggaran'!$N32),IF('Asumsi'!$B$6&gt;=5,$K32,'Input Anggaran'!$O32),IF('Asumsi'!$B$6&gt;=6,$L32,'Input Anggaran'!$P32),IF('Asumsi'!$B$6&gt;=7,$M32,'Input Anggaran'!$Q32),IF('Asumsi'!$B$6&gt;=8,$N32,'Input Anggaran'!$R32),IF('Asumsi'!$B$6&gt;=9,$O32,'Input Anggaran'!$S32),IF('Asumsi'!$B$6&gt;=10,$P32,'Input Anggaran'!$T32),IF('Asumsi'!$B$6&gt;=11,$Q32,'Input Anggaran'!$U32),IF('Asumsi'!$B$6&gt;=12,$R32,'Input Anggaran'!$V32)),0))</x:f>
      </x:c>
      <x:c r="V32" s="32" t="str">
        <x:f>IF($A32="","",$U32-$F32)</x:f>
      </x:c>
      <x:c r="W32" s="25" t="str">
        <x:f>IF($A32="","",IFERROR($V32/$F32,0))</x:f>
      </x:c>
      <x:c r="X32" s="24" t="str">
        <x:f>IF($A32="","",IF(ABS($W32)&gt;='Asumsi'!$B$12,"ESKALASI",IF(ABS($W32)&gt;='Asumsi'!$B$11,"TINJAU","TERKENDALI")))</x:f>
      </x:c>
      <x:c r="Y32" s="16"/>
    </x:row>
    <x:row r="33" ht="15" hidden="0" customHeight="1">
      <x:c r="A33" s="24" t="str">
        <x:f>IF('Input Anggaran'!A33="","",'Input Anggaran'!A33)</x:f>
      </x:c>
      <x:c r="B33" s="24" t="str">
        <x:f>IF('Input Anggaran'!A33="","",'Input Anggaran'!C33)</x:f>
      </x:c>
      <x:c r="C33" s="24" t="str">
        <x:f>IF('Input Anggaran'!A33="","",'Input Anggaran'!D33)</x:f>
      </x:c>
      <x:c r="D33" s="24" t="str">
        <x:f>IF('Input Anggaran'!A33="","",'Input Anggaran'!F33)</x:f>
      </x:c>
      <x:c r="E33" s="24" t="str">
        <x:f>IF('Input Anggaran'!A33="","",'Input Anggaran'!H33)</x:f>
      </x:c>
      <x:c r="F33" s="32" t="str">
        <x:f>IF('Input Anggaran'!A33="","",'Input Anggaran'!J33)</x:f>
      </x:c>
      <x:c r="G33" s="31" t="n">
        <x:v>0</x:v>
      </x:c>
      <x:c r="H33" s="31" t="n">
        <x:v>0</x:v>
      </x:c>
      <x:c r="I33" s="31" t="n">
        <x:v>0</x:v>
      </x:c>
      <x:c r="J33" s="31" t="n">
        <x:v>0</x:v>
      </x:c>
      <x:c r="K33" s="31" t="n">
        <x:v>0</x:v>
      </x:c>
      <x:c r="L33" s="31" t="n">
        <x:v>0</x:v>
      </x:c>
      <x:c r="M33" s="31" t="n">
        <x:v>0</x:v>
      </x:c>
      <x:c r="N33" s="31" t="n">
        <x:v>0</x:v>
      </x:c>
      <x:c r="O33" s="31" t="n">
        <x:v>0</x:v>
      </x:c>
      <x:c r="P33" s="31" t="n">
        <x:v>0</x:v>
      </x:c>
      <x:c r="Q33" s="31" t="n">
        <x:v>0</x:v>
      </x:c>
      <x:c r="R33" s="31" t="n">
        <x:v>0</x:v>
      </x:c>
      <x:c r="S33" s="32" t="str">
        <x:f>IF($A33="","",SUM('Input Anggaran'!$K33:INDEX('Input Anggaran'!$K33:$V33,1,'Asumsi'!$B$6)))</x:f>
      </x:c>
      <x:c r="T33" s="32" t="str">
        <x:f>IF($A33="","",SUM($G33:INDEX($G33:$R33,1,'Asumsi'!$B$6)))</x:f>
      </x:c>
      <x:c r="U33" s="32" t="str">
        <x:f>IF($A33="","",ROUND(SUM(IF('Asumsi'!$B$6&gt;=1,$G33,'Input Anggaran'!$K33),IF('Asumsi'!$B$6&gt;=2,$H33,'Input Anggaran'!$L33),IF('Asumsi'!$B$6&gt;=3,$I33,'Input Anggaran'!$M33),IF('Asumsi'!$B$6&gt;=4,$J33,'Input Anggaran'!$N33),IF('Asumsi'!$B$6&gt;=5,$K33,'Input Anggaran'!$O33),IF('Asumsi'!$B$6&gt;=6,$L33,'Input Anggaran'!$P33),IF('Asumsi'!$B$6&gt;=7,$M33,'Input Anggaran'!$Q33),IF('Asumsi'!$B$6&gt;=8,$N33,'Input Anggaran'!$R33),IF('Asumsi'!$B$6&gt;=9,$O33,'Input Anggaran'!$S33),IF('Asumsi'!$B$6&gt;=10,$P33,'Input Anggaran'!$T33),IF('Asumsi'!$B$6&gt;=11,$Q33,'Input Anggaran'!$U33),IF('Asumsi'!$B$6&gt;=12,$R33,'Input Anggaran'!$V33)),0))</x:f>
      </x:c>
      <x:c r="V33" s="32" t="str">
        <x:f>IF($A33="","",$U33-$F33)</x:f>
      </x:c>
      <x:c r="W33" s="25" t="str">
        <x:f>IF($A33="","",IFERROR($V33/$F33,0))</x:f>
      </x:c>
      <x:c r="X33" s="24" t="str">
        <x:f>IF($A33="","",IF(ABS($W33)&gt;='Asumsi'!$B$12,"ESKALASI",IF(ABS($W33)&gt;='Asumsi'!$B$11,"TINJAU","TERKENDALI")))</x:f>
      </x:c>
      <x:c r="Y33" s="16"/>
    </x:row>
    <x:row r="34" ht="15" hidden="0" customHeight="1">
      <x:c r="A34" s="24" t="str">
        <x:f>IF('Input Anggaran'!A34="","",'Input Anggaran'!A34)</x:f>
      </x:c>
      <x:c r="B34" s="24" t="str">
        <x:f>IF('Input Anggaran'!A34="","",'Input Anggaran'!C34)</x:f>
      </x:c>
      <x:c r="C34" s="24" t="str">
        <x:f>IF('Input Anggaran'!A34="","",'Input Anggaran'!D34)</x:f>
      </x:c>
      <x:c r="D34" s="24" t="str">
        <x:f>IF('Input Anggaran'!A34="","",'Input Anggaran'!F34)</x:f>
      </x:c>
      <x:c r="E34" s="24" t="str">
        <x:f>IF('Input Anggaran'!A34="","",'Input Anggaran'!H34)</x:f>
      </x:c>
      <x:c r="F34" s="32" t="str">
        <x:f>IF('Input Anggaran'!A34="","",'Input Anggaran'!J34)</x:f>
      </x:c>
      <x:c r="G34" s="31" t="n">
        <x:v>0</x:v>
      </x:c>
      <x:c r="H34" s="31" t="n">
        <x:v>0</x:v>
      </x:c>
      <x:c r="I34" s="31" t="n">
        <x:v>0</x:v>
      </x:c>
      <x:c r="J34" s="31" t="n">
        <x:v>0</x:v>
      </x:c>
      <x:c r="K34" s="31" t="n">
        <x:v>0</x:v>
      </x:c>
      <x:c r="L34" s="31" t="n">
        <x:v>0</x:v>
      </x:c>
      <x:c r="M34" s="31" t="n">
        <x:v>0</x:v>
      </x:c>
      <x:c r="N34" s="31" t="n">
        <x:v>0</x:v>
      </x:c>
      <x:c r="O34" s="31" t="n">
        <x:v>0</x:v>
      </x:c>
      <x:c r="P34" s="31" t="n">
        <x:v>0</x:v>
      </x:c>
      <x:c r="Q34" s="31" t="n">
        <x:v>0</x:v>
      </x:c>
      <x:c r="R34" s="31" t="n">
        <x:v>0</x:v>
      </x:c>
      <x:c r="S34" s="32" t="str">
        <x:f>IF($A34="","",SUM('Input Anggaran'!$K34:INDEX('Input Anggaran'!$K34:$V34,1,'Asumsi'!$B$6)))</x:f>
      </x:c>
      <x:c r="T34" s="32" t="str">
        <x:f>IF($A34="","",SUM($G34:INDEX($G34:$R34,1,'Asumsi'!$B$6)))</x:f>
      </x:c>
      <x:c r="U34" s="32" t="str">
        <x:f>IF($A34="","",ROUND(SUM(IF('Asumsi'!$B$6&gt;=1,$G34,'Input Anggaran'!$K34),IF('Asumsi'!$B$6&gt;=2,$H34,'Input Anggaran'!$L34),IF('Asumsi'!$B$6&gt;=3,$I34,'Input Anggaran'!$M34),IF('Asumsi'!$B$6&gt;=4,$J34,'Input Anggaran'!$N34),IF('Asumsi'!$B$6&gt;=5,$K34,'Input Anggaran'!$O34),IF('Asumsi'!$B$6&gt;=6,$L34,'Input Anggaran'!$P34),IF('Asumsi'!$B$6&gt;=7,$M34,'Input Anggaran'!$Q34),IF('Asumsi'!$B$6&gt;=8,$N34,'Input Anggaran'!$R34),IF('Asumsi'!$B$6&gt;=9,$O34,'Input Anggaran'!$S34),IF('Asumsi'!$B$6&gt;=10,$P34,'Input Anggaran'!$T34),IF('Asumsi'!$B$6&gt;=11,$Q34,'Input Anggaran'!$U34),IF('Asumsi'!$B$6&gt;=12,$R34,'Input Anggaran'!$V34)),0))</x:f>
      </x:c>
      <x:c r="V34" s="32" t="str">
        <x:f>IF($A34="","",$U34-$F34)</x:f>
      </x:c>
      <x:c r="W34" s="25" t="str">
        <x:f>IF($A34="","",IFERROR($V34/$F34,0))</x:f>
      </x:c>
      <x:c r="X34" s="24" t="str">
        <x:f>IF($A34="","",IF(ABS($W34)&gt;='Asumsi'!$B$12,"ESKALASI",IF(ABS($W34)&gt;='Asumsi'!$B$11,"TINJAU","TERKENDALI")))</x:f>
      </x:c>
      <x:c r="Y34" s="16"/>
    </x:row>
    <x:row r="35" ht="15" hidden="0" customHeight="1">
      <x:c r="A35" s="24" t="str">
        <x:f>IF('Input Anggaran'!A35="","",'Input Anggaran'!A35)</x:f>
      </x:c>
      <x:c r="B35" s="24" t="str">
        <x:f>IF('Input Anggaran'!A35="","",'Input Anggaran'!C35)</x:f>
      </x:c>
      <x:c r="C35" s="24" t="str">
        <x:f>IF('Input Anggaran'!A35="","",'Input Anggaran'!D35)</x:f>
      </x:c>
      <x:c r="D35" s="24" t="str">
        <x:f>IF('Input Anggaran'!A35="","",'Input Anggaran'!F35)</x:f>
      </x:c>
      <x:c r="E35" s="24" t="str">
        <x:f>IF('Input Anggaran'!A35="","",'Input Anggaran'!H35)</x:f>
      </x:c>
      <x:c r="F35" s="32" t="str">
        <x:f>IF('Input Anggaran'!A35="","",'Input Anggaran'!J35)</x:f>
      </x:c>
      <x:c r="G35" s="31" t="n">
        <x:v>0</x:v>
      </x:c>
      <x:c r="H35" s="31" t="n">
        <x:v>0</x:v>
      </x:c>
      <x:c r="I35" s="31" t="n">
        <x:v>0</x:v>
      </x:c>
      <x:c r="J35" s="31" t="n">
        <x:v>0</x:v>
      </x:c>
      <x:c r="K35" s="31" t="n">
        <x:v>0</x:v>
      </x:c>
      <x:c r="L35" s="31" t="n">
        <x:v>0</x:v>
      </x:c>
      <x:c r="M35" s="31" t="n">
        <x:v>0</x:v>
      </x:c>
      <x:c r="N35" s="31" t="n">
        <x:v>0</x:v>
      </x:c>
      <x:c r="O35" s="31" t="n">
        <x:v>0</x:v>
      </x:c>
      <x:c r="P35" s="31" t="n">
        <x:v>0</x:v>
      </x:c>
      <x:c r="Q35" s="31" t="n">
        <x:v>0</x:v>
      </x:c>
      <x:c r="R35" s="31" t="n">
        <x:v>0</x:v>
      </x:c>
      <x:c r="S35" s="32" t="str">
        <x:f>IF($A35="","",SUM('Input Anggaran'!$K35:INDEX('Input Anggaran'!$K35:$V35,1,'Asumsi'!$B$6)))</x:f>
      </x:c>
      <x:c r="T35" s="32" t="str">
        <x:f>IF($A35="","",SUM($G35:INDEX($G35:$R35,1,'Asumsi'!$B$6)))</x:f>
      </x:c>
      <x:c r="U35" s="32" t="str">
        <x:f>IF($A35="","",ROUND(SUM(IF('Asumsi'!$B$6&gt;=1,$G35,'Input Anggaran'!$K35),IF('Asumsi'!$B$6&gt;=2,$H35,'Input Anggaran'!$L35),IF('Asumsi'!$B$6&gt;=3,$I35,'Input Anggaran'!$M35),IF('Asumsi'!$B$6&gt;=4,$J35,'Input Anggaran'!$N35),IF('Asumsi'!$B$6&gt;=5,$K35,'Input Anggaran'!$O35),IF('Asumsi'!$B$6&gt;=6,$L35,'Input Anggaran'!$P35),IF('Asumsi'!$B$6&gt;=7,$M35,'Input Anggaran'!$Q35),IF('Asumsi'!$B$6&gt;=8,$N35,'Input Anggaran'!$R35),IF('Asumsi'!$B$6&gt;=9,$O35,'Input Anggaran'!$S35),IF('Asumsi'!$B$6&gt;=10,$P35,'Input Anggaran'!$T35),IF('Asumsi'!$B$6&gt;=11,$Q35,'Input Anggaran'!$U35),IF('Asumsi'!$B$6&gt;=12,$R35,'Input Anggaran'!$V35)),0))</x:f>
      </x:c>
      <x:c r="V35" s="32" t="str">
        <x:f>IF($A35="","",$U35-$F35)</x:f>
      </x:c>
      <x:c r="W35" s="25" t="str">
        <x:f>IF($A35="","",IFERROR($V35/$F35,0))</x:f>
      </x:c>
      <x:c r="X35" s="24" t="str">
        <x:f>IF($A35="","",IF(ABS($W35)&gt;='Asumsi'!$B$12,"ESKALASI",IF(ABS($W35)&gt;='Asumsi'!$B$11,"TINJAU","TERKENDALI")))</x:f>
      </x:c>
      <x:c r="Y35" s="16"/>
    </x:row>
    <x:row r="36" ht="15" hidden="0" customHeight="1">
      <x:c r="A36" s="24" t="str">
        <x:f>IF('Input Anggaran'!A36="","",'Input Anggaran'!A36)</x:f>
      </x:c>
      <x:c r="B36" s="24" t="str">
        <x:f>IF('Input Anggaran'!A36="","",'Input Anggaran'!C36)</x:f>
      </x:c>
      <x:c r="C36" s="24" t="str">
        <x:f>IF('Input Anggaran'!A36="","",'Input Anggaran'!D36)</x:f>
      </x:c>
      <x:c r="D36" s="24" t="str">
        <x:f>IF('Input Anggaran'!A36="","",'Input Anggaran'!F36)</x:f>
      </x:c>
      <x:c r="E36" s="24" t="str">
        <x:f>IF('Input Anggaran'!A36="","",'Input Anggaran'!H36)</x:f>
      </x:c>
      <x:c r="F36" s="32" t="str">
        <x:f>IF('Input Anggaran'!A36="","",'Input Anggaran'!J36)</x:f>
      </x:c>
      <x:c r="G36" s="31" t="n">
        <x:v>0</x:v>
      </x:c>
      <x:c r="H36" s="31" t="n">
        <x:v>0</x:v>
      </x:c>
      <x:c r="I36" s="31" t="n">
        <x:v>0</x:v>
      </x:c>
      <x:c r="J36" s="31" t="n">
        <x:v>0</x:v>
      </x:c>
      <x:c r="K36" s="31" t="n">
        <x:v>0</x:v>
      </x:c>
      <x:c r="L36" s="31" t="n">
        <x:v>0</x:v>
      </x:c>
      <x:c r="M36" s="31" t="n">
        <x:v>0</x:v>
      </x:c>
      <x:c r="N36" s="31" t="n">
        <x:v>0</x:v>
      </x:c>
      <x:c r="O36" s="31" t="n">
        <x:v>0</x:v>
      </x:c>
      <x:c r="P36" s="31" t="n">
        <x:v>0</x:v>
      </x:c>
      <x:c r="Q36" s="31" t="n">
        <x:v>0</x:v>
      </x:c>
      <x:c r="R36" s="31" t="n">
        <x:v>0</x:v>
      </x:c>
      <x:c r="S36" s="32" t="str">
        <x:f>IF($A36="","",SUM('Input Anggaran'!$K36:INDEX('Input Anggaran'!$K36:$V36,1,'Asumsi'!$B$6)))</x:f>
      </x:c>
      <x:c r="T36" s="32" t="str">
        <x:f>IF($A36="","",SUM($G36:INDEX($G36:$R36,1,'Asumsi'!$B$6)))</x:f>
      </x:c>
      <x:c r="U36" s="32" t="str">
        <x:f>IF($A36="","",ROUND(SUM(IF('Asumsi'!$B$6&gt;=1,$G36,'Input Anggaran'!$K36),IF('Asumsi'!$B$6&gt;=2,$H36,'Input Anggaran'!$L36),IF('Asumsi'!$B$6&gt;=3,$I36,'Input Anggaran'!$M36),IF('Asumsi'!$B$6&gt;=4,$J36,'Input Anggaran'!$N36),IF('Asumsi'!$B$6&gt;=5,$K36,'Input Anggaran'!$O36),IF('Asumsi'!$B$6&gt;=6,$L36,'Input Anggaran'!$P36),IF('Asumsi'!$B$6&gt;=7,$M36,'Input Anggaran'!$Q36),IF('Asumsi'!$B$6&gt;=8,$N36,'Input Anggaran'!$R36),IF('Asumsi'!$B$6&gt;=9,$O36,'Input Anggaran'!$S36),IF('Asumsi'!$B$6&gt;=10,$P36,'Input Anggaran'!$T36),IF('Asumsi'!$B$6&gt;=11,$Q36,'Input Anggaran'!$U36),IF('Asumsi'!$B$6&gt;=12,$R36,'Input Anggaran'!$V36)),0))</x:f>
      </x:c>
      <x:c r="V36" s="32" t="str">
        <x:f>IF($A36="","",$U36-$F36)</x:f>
      </x:c>
      <x:c r="W36" s="25" t="str">
        <x:f>IF($A36="","",IFERROR($V36/$F36,0))</x:f>
      </x:c>
      <x:c r="X36" s="24" t="str">
        <x:f>IF($A36="","",IF(ABS($W36)&gt;='Asumsi'!$B$12,"ESKALASI",IF(ABS($W36)&gt;='Asumsi'!$B$11,"TINJAU","TERKENDALI")))</x:f>
      </x:c>
      <x:c r="Y36" s="16"/>
    </x:row>
  </x:sheetData>
  <x:mergeCells>
    <x:mergeCell ref="A1:W1"/>
    <x:mergeCell ref="A2:P2"/>
    <x:mergeCell ref="A4:W4"/>
  </x:mergeCells>
  <x:conditionalFormatting sqref="X7:X36">
    <x:cfRule type="containsText" dxfId="0" priority="1" operator="containsText" text="ESKALASI"/>
    <x:cfRule type="containsText" dxfId="1" priority="2" operator="containsText" text="TINJAU"/>
    <x:cfRule type="containsText" dxfId="2" priority="3" operator="containsText" text="TERKENDALI"/>
  </x:conditionalFormatting>
  <x:pageMargins left="0.7" right="0.7" top="0.75" bottom="0.75" header="0.3" footer="0.3"/>
  <x:tableParts count="1">
    <x:tablePart xmlns:r="http://schemas.openxmlformats.org/officeDocument/2006/relationships" r:id="R378d9a8f58c84f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2" hidden="0" customWidth="1"/>
    <x:col min="4" max="4" width="26" hidden="0" customWidth="1"/>
    <x:col min="5" max="5" width="30" hidden="0" customWidth="1"/>
    <x:col min="6" max="6" width="44" hidden="0" customWidth="1"/>
    <x:col min="7" max="7" width="18" hidden="0" customWidth="1"/>
    <x:col min="8" max="8" width="16" hidden="0" customWidth="1"/>
    <x:col min="9" max="9" width="30" hidden="0" customWidth="1"/>
    <x:col min="10" max="10" width="18" hidden="0" customWidth="1"/>
  </x:cols>
  <x:sheetData>
    <x:row r="1" ht="19.200000762939453" hidden="0" customHeight="1">
      <x:c r="A1" s="4" t="str">
        <x:v>Log Tata Kelola, Persetujuan &amp; Reforecast APO06</x:v>
      </x:c>
      <x:c r="B1" s="4" t="str">
        <x:v>Log Tata Kelola, Persetujuan &amp; Reforecast APO06</x:v>
      </x:c>
      <x:c r="C1" s="4" t="str">
        <x:v>Log Tata Kelola, Persetujuan &amp; Reforecast APO06</x:v>
      </x:c>
      <x:c r="D1" s="4" t="str">
        <x:v>Log Tata Kelola, Persetujuan &amp; Reforecast APO06</x:v>
      </x:c>
      <x:c r="E1" s="4" t="str">
        <x:v>Log Tata Kelola, Persetujuan &amp; Reforecast APO06</x:v>
      </x:c>
      <x:c r="F1" s="4" t="str">
        <x:v>Log Tata Kelola, Persetujuan &amp; Reforecast APO06</x:v>
      </x:c>
      <x:c r="G1" s="4" t="str">
        <x:v>Log Tata Kelola, Persetujuan &amp; Reforecast APO06</x:v>
      </x:c>
      <x:c r="H1" s="4" t="str">
        <x:v>Log Tata Kelola, Persetujuan &amp; Reforecast APO06</x:v>
      </x:c>
      <x:c r="I1" s="4" t="str">
        <x:v>Log Tata Kelola, Persetujuan &amp; Reforecast APO06</x:v>
      </x:c>
      <x:c r="J1" s="4" t="str">
        <x:v>Log Tata Kelola, Persetujuan &amp; Reforecast APO06</x:v>
      </x:c>
    </x:row>
    <x:row r="2" ht="15" hidden="0" customHeight="1">
      <x:c r="A2" s="7" t="str">
        <x:v>Template mencakup ownership, bukti persetujuan, irama kerja, dan aktivitas kontrol keuangan yang selaras COBIT.</x:v>
      </x:c>
      <x:c r="B2" s="7" t="str">
        <x:v>Template mencakup ownership, bukti persetujuan, irama kerja, dan aktivitas kontrol keuangan yang selaras COBIT.</x:v>
      </x:c>
      <x:c r="C2" s="7" t="str">
        <x:v>Template mencakup ownership, bukti persetujuan, irama kerja, dan aktivitas kontrol keuangan yang selaras COBIT.</x:v>
      </x:c>
      <x:c r="D2" s="7" t="str">
        <x:v>Template mencakup ownership, bukti persetujuan, irama kerja, dan aktivitas kontrol keuangan yang selaras COBIT.</x:v>
      </x:c>
      <x:c r="E2" s="7" t="str">
        <x:v>Template mencakup ownership, bukti persetujuan, irama kerja, dan aktivitas kontrol keuangan yang selaras COBIT.</x:v>
      </x:c>
      <x:c r="F2" s="7" t="str">
        <x:v>Template mencakup ownership, bukti persetujuan, irama kerja, dan aktivitas kontrol keuangan yang selaras COBIT.</x:v>
      </x:c>
      <x:c r="G2" s="7" t="str">
        <x:v>Template mencakup ownership, bukti persetujuan, irama kerja, dan aktivitas kontrol keuangan yang selaras COBIT.</x:v>
      </x:c>
      <x:c r="H2" s="7" t="str">
        <x:v>Template mencakup ownership, bukti persetujuan, irama kerja, dan aktivitas kontrol keuangan yang selaras COBIT.</x:v>
      </x:c>
      <x:c r="I2" s="7" t="str">
        <x:v>Template mencakup ownership, bukti persetujuan, irama kerja, dan aktivitas kontrol keuangan yang selaras COBIT.</x:v>
      </x:c>
      <x:c r="J2" s="7" t="str">
        <x:v>Template mencakup ownership, bukti persetujuan, irama kerja, dan aktivitas kontrol keuangan yang selaras COBIT.</x:v>
      </x:c>
      <x:c r="K2" s="7" t="str">
        <x:v>Template mencakup ownership, bukti persetujuan, irama kerja, dan aktivitas kontrol keuangan yang selaras COBIT.</x:v>
      </x:c>
      <x:c r="L2" s="7" t="str">
        <x:v>Template mencakup ownership, bukti persetujuan, irama kerja, dan aktivitas kontrol keuangan yang selaras COBIT.</x:v>
      </x:c>
      <x:c r="M2" s="7" t="str">
        <x:v>Template mencakup ownership, bukti persetujuan, irama kerja, dan aktivitas kontrol keuangan yang selaras COBIT.</x:v>
      </x:c>
      <x:c r="N2" s="7" t="str">
        <x:v>Template mencakup ownership, bukti persetujuan, irama kerja, dan aktivitas kontrol keuangan yang selaras COBIT.</x:v>
      </x:c>
      <x:c r="O2" s="7" t="str">
        <x:v>Template mencakup ownership, bukti persetujuan, irama kerja, dan aktivitas kontrol keuangan yang selaras COBIT.</x:v>
      </x:c>
      <x:c r="P2" s="7" t="str">
        <x:v>Template mencakup ownership, bukti persetujuan, irama kerja, dan aktivitas kontrol keuangan yang selaras COBIT.</x:v>
      </x:c>
    </x:row>
    <x:row r="3"/>
    <x:row r="4" ht="15" hidden="0" customHeight="1">
      <x:c r="A4" s="10" t="str">
        <x:v>Register persetujuan / permintaan perubahan</x:v>
      </x:c>
      <x:c r="B4" s="10" t="str">
        <x:v>Register persetujuan / permintaan perubahan</x:v>
      </x:c>
      <x:c r="C4" s="10" t="str">
        <x:v>Register persetujuan / permintaan perubahan</x:v>
      </x:c>
      <x:c r="D4" s="10" t="str">
        <x:v>Register persetujuan / permintaan perubahan</x:v>
      </x:c>
      <x:c r="E4" s="10" t="str">
        <x:v>Register persetujuan / permintaan perubahan</x:v>
      </x:c>
      <x:c r="F4" s="10" t="str">
        <x:v>Register persetujuan / permintaan perubahan</x:v>
      </x:c>
      <x:c r="G4" s="10" t="str">
        <x:v>Register persetujuan / permintaan perubahan</x:v>
      </x:c>
      <x:c r="H4" s="10" t="str">
        <x:v>Register persetujuan / permintaan perubahan</x:v>
      </x:c>
      <x:c r="I4" s="10" t="str">
        <x:v>Register persetujuan / permintaan perubahan</x:v>
      </x:c>
      <x:c r="J4" s="10" t="str">
        <x:v>Register persetujuan / permintaan perubahan</x:v>
      </x:c>
    </x:row>
    <x:row r="5" ht="15" hidden="0" customHeight="1">
      <x:c r="A5" s="22" t="str">
        <x:v>Request / Versi</x:v>
      </x:c>
      <x:c r="B5" s="22" t="str">
        <x:v>Tanggal Efektif</x:v>
      </x:c>
      <x:c r="C5" s="22" t="str">
        <x:v>Cakupan / Budget ID</x:v>
      </x:c>
      <x:c r="D5" s="22" t="str">
        <x:v>Jenis Perubahan</x:v>
      </x:c>
      <x:c r="E5" s="22" t="str">
        <x:v>Nilai Diajukan</x:v>
      </x:c>
      <x:c r="F5" s="22" t="str">
        <x:v>Business Case / Rasional</x:v>
      </x:c>
      <x:c r="G5" s="22" t="str">
        <x:v>Disiapkan Oleh</x:v>
      </x:c>
      <x:c r="H5" s="22" t="str">
        <x:v>Status Persetujuan</x:v>
      </x:c>
      <x:c r="I5" s="22" t="str">
        <x:v>Approver / Ref Bukti</x:v>
      </x:c>
      <x:c r="J5" s="22" t="str">
        <x:v>Tanggal Keputusan</x:v>
      </x:c>
    </x:row>
    <x:row r="6" ht="26.399999618530273" hidden="0" customHeight="1">
      <x:c r="A6" s="34" t="str">
        <x:v>Anggaran Kerja v1.0</x:v>
      </x:c>
      <x:c r="B6" s="35" t="n">
        <x:v>46388</x:v>
      </x:c>
      <x:c r="C6" s="34" t="str">
        <x:v>Portofolio TI Tahunan</x:v>
      </x:c>
      <x:c r="D6" s="34" t="str">
        <x:v>Persetujuan tahunan</x:v>
      </x:c>
      <x:c r="E6" s="36" t="n">
        <x:v>5030000000</x:v>
      </x:c>
      <x:c r="F6" s="34" t="str">
        <x:v>Kerangka pendanaan tahunan, prioritisasi portofolio, dan alokasi biaya</x:v>
      </x:c>
      <x:c r="G6" s="34" t="str">
        <x:v>Head of IT Finance</x:v>
      </x:c>
      <x:c r="H6" s="34" t="str">
        <x:v>Menunggu</x:v>
      </x:c>
      <x:c r="I6" s="34" t="str">
        <x:v>Catatan persetujuan CIO / CFO</x:v>
      </x:c>
      <x:c r="J6" s="35"/>
    </x:row>
    <x:row r="7" ht="15" hidden="0" customHeight="1">
      <x:c r="A7" s="34"/>
      <x:c r="B7" s="35"/>
      <x:c r="C7" s="34"/>
      <x:c r="D7" s="34"/>
      <x:c r="E7" s="36"/>
      <x:c r="F7" s="34"/>
      <x:c r="G7" s="34"/>
      <x:c r="H7" s="34"/>
      <x:c r="I7" s="34"/>
      <x:c r="J7" s="35"/>
    </x:row>
    <x:row r="8" ht="15" hidden="0" customHeight="1">
      <x:c r="A8" s="34"/>
      <x:c r="B8" s="35"/>
      <x:c r="C8" s="34"/>
      <x:c r="D8" s="34"/>
      <x:c r="E8" s="36"/>
      <x:c r="F8" s="34"/>
      <x:c r="G8" s="34"/>
      <x:c r="H8" s="34"/>
      <x:c r="I8" s="34"/>
      <x:c r="J8" s="35"/>
    </x:row>
    <x:row r="9" ht="15" hidden="0" customHeight="1">
      <x:c r="A9" s="34"/>
      <x:c r="B9" s="35"/>
      <x:c r="C9" s="34"/>
      <x:c r="D9" s="34"/>
      <x:c r="E9" s="36"/>
      <x:c r="F9" s="34"/>
      <x:c r="G9" s="34"/>
      <x:c r="H9" s="34"/>
      <x:c r="I9" s="34"/>
      <x:c r="J9" s="35"/>
    </x:row>
    <x:row r="10" ht="15" hidden="0" customHeight="1">
      <x:c r="A10" s="34"/>
      <x:c r="B10" s="35"/>
      <x:c r="C10" s="34"/>
      <x:c r="D10" s="34"/>
      <x:c r="E10" s="36"/>
      <x:c r="F10" s="34"/>
      <x:c r="G10" s="34"/>
      <x:c r="H10" s="34"/>
      <x:c r="I10" s="34"/>
      <x:c r="J10" s="35"/>
    </x:row>
    <x:row r="11" ht="15" hidden="0" customHeight="1">
      <x:c r="A11" s="34"/>
      <x:c r="B11" s="35"/>
      <x:c r="C11" s="34"/>
      <x:c r="D11" s="34"/>
      <x:c r="E11" s="36"/>
      <x:c r="F11" s="34"/>
      <x:c r="G11" s="34"/>
      <x:c r="H11" s="34"/>
      <x:c r="I11" s="34"/>
      <x:c r="J11" s="35"/>
    </x:row>
    <x:row r="12" ht="15" hidden="0" customHeight="1">
      <x:c r="A12" s="34"/>
      <x:c r="B12" s="35"/>
      <x:c r="C12" s="34"/>
      <x:c r="D12" s="34"/>
      <x:c r="E12" s="36"/>
      <x:c r="F12" s="34"/>
      <x:c r="G12" s="34"/>
      <x:c r="H12" s="34"/>
      <x:c r="I12" s="34"/>
      <x:c r="J12" s="35"/>
    </x:row>
    <x:row r="13" ht="15" hidden="0" customHeight="1">
      <x:c r="A13" s="34"/>
      <x:c r="B13" s="35"/>
      <x:c r="C13" s="34"/>
      <x:c r="D13" s="34"/>
      <x:c r="E13" s="36"/>
      <x:c r="F13" s="34"/>
      <x:c r="G13" s="34"/>
      <x:c r="H13" s="34"/>
      <x:c r="I13" s="34"/>
      <x:c r="J13" s="35"/>
    </x:row>
    <x:row r="14" ht="15" hidden="0" customHeight="1">
      <x:c r="A14" s="34"/>
      <x:c r="B14" s="35"/>
      <x:c r="C14" s="34"/>
      <x:c r="D14" s="34"/>
      <x:c r="E14" s="36"/>
      <x:c r="F14" s="34"/>
      <x:c r="G14" s="34"/>
      <x:c r="H14" s="34"/>
      <x:c r="I14" s="34"/>
      <x:c r="J14" s="35"/>
    </x:row>
    <x:row r="15" ht="15" hidden="0" customHeight="1">
      <x:c r="A15" s="34"/>
      <x:c r="B15" s="35"/>
      <x:c r="C15" s="34"/>
      <x:c r="D15" s="34"/>
      <x:c r="E15" s="36"/>
      <x:c r="F15" s="34"/>
      <x:c r="G15" s="34"/>
      <x:c r="H15" s="34"/>
      <x:c r="I15" s="34"/>
      <x:c r="J15" s="35"/>
    </x:row>
    <x:row r="16" ht="15" hidden="0" customHeight="1">
      <x:c r="A16" s="34"/>
      <x:c r="B16" s="35"/>
      <x:c r="C16" s="34"/>
      <x:c r="D16" s="34"/>
      <x:c r="E16" s="36"/>
      <x:c r="F16" s="34"/>
      <x:c r="G16" s="34"/>
      <x:c r="H16" s="34"/>
      <x:c r="I16" s="34"/>
      <x:c r="J16" s="35"/>
    </x:row>
    <x:row r="17" ht="15" hidden="0" customHeight="1">
      <x:c r="A17" s="34"/>
      <x:c r="B17" s="35"/>
      <x:c r="C17" s="34"/>
      <x:c r="D17" s="34"/>
      <x:c r="E17" s="36"/>
      <x:c r="F17" s="34"/>
      <x:c r="G17" s="34"/>
      <x:c r="H17" s="34"/>
      <x:c r="I17" s="34"/>
      <x:c r="J17" s="35"/>
    </x:row>
    <x:row r="18" ht="15" hidden="0" customHeight="1">
      <x:c r="A18" s="34"/>
      <x:c r="B18" s="35"/>
      <x:c r="C18" s="34"/>
      <x:c r="D18" s="34"/>
      <x:c r="E18" s="36"/>
      <x:c r="F18" s="34"/>
      <x:c r="G18" s="34"/>
      <x:c r="H18" s="34"/>
      <x:c r="I18" s="34"/>
      <x:c r="J18" s="35"/>
    </x:row>
    <x:row r="19" ht="15" hidden="0" customHeight="1">
      <x:c r="A19" s="34"/>
      <x:c r="B19" s="35"/>
      <x:c r="C19" s="34"/>
      <x:c r="D19" s="34"/>
      <x:c r="E19" s="36"/>
      <x:c r="F19" s="34"/>
      <x:c r="G19" s="34"/>
      <x:c r="H19" s="34"/>
      <x:c r="I19" s="34"/>
      <x:c r="J19" s="35"/>
    </x:row>
    <x:row r="20" ht="15" hidden="0" customHeight="1">
      <x:c r="A20" s="34"/>
      <x:c r="B20" s="35"/>
      <x:c r="C20" s="34"/>
      <x:c r="D20" s="34"/>
      <x:c r="E20" s="36"/>
      <x:c r="F20" s="34"/>
      <x:c r="G20" s="34"/>
      <x:c r="H20" s="34"/>
      <x:c r="I20" s="34"/>
      <x:c r="J20" s="35"/>
    </x:row>
    <x:row r="21"/>
    <x:row r="22"/>
    <x:row r="23" ht="15" hidden="0" customHeight="1">
      <x:c r="A23" s="10" t="str">
        <x:v>Peta kontrol COBIT 2019 APO06 dan irama operasional</x:v>
      </x:c>
      <x:c r="B23" s="10" t="str">
        <x:v>Peta kontrol COBIT 2019 APO06 dan irama operasional</x:v>
      </x:c>
      <x:c r="C23" s="10" t="str">
        <x:v>Peta kontrol COBIT 2019 APO06 dan irama operasional</x:v>
      </x:c>
      <x:c r="D23" s="10" t="str">
        <x:v>Peta kontrol COBIT 2019 APO06 dan irama operasional</x:v>
      </x:c>
      <x:c r="E23" s="10" t="str">
        <x:v>Peta kontrol COBIT 2019 APO06 dan irama operasional</x:v>
      </x:c>
      <x:c r="F23" s="10" t="str">
        <x:v>Peta kontrol COBIT 2019 APO06 dan irama operasional</x:v>
      </x:c>
      <x:c r="G23" s="10" t="str">
        <x:v>Peta kontrol COBIT 2019 APO06 dan irama operasional</x:v>
      </x:c>
      <x:c r="H23" s="10" t="str">
        <x:v>Peta kontrol COBIT 2019 APO06 dan irama operasional</x:v>
      </x:c>
      <x:c r="I23" s="10" t="str">
        <x:v>Peta kontrol COBIT 2019 APO06 dan irama operasional</x:v>
      </x:c>
      <x:c r="J23" s="10" t="str">
        <x:v>Peta kontrol COBIT 2019 APO06 dan irama operasional</x:v>
      </x:c>
    </x:row>
    <x:row r="24" ht="15" hidden="0" customHeight="1">
      <x:c r="A24" s="22" t="str">
        <x:v>Fokus APO06</x:v>
      </x:c>
      <x:c r="B24" s="22" t="str">
        <x:v>Aktivitas kontrol</x:v>
      </x:c>
      <x:c r="C24" s="22" t="str">
        <x:v>Frekuensi</x:v>
      </x:c>
      <x:c r="D24" s="22" t="str">
        <x:v>Akuntabel</x:v>
      </x:c>
      <x:c r="E24" s="22" t="str">
        <x:v>Bukti</x:v>
      </x:c>
      <x:c r="F24" s="22" t="str">
        <x:v>Tujuan kontrol</x:v>
      </x:c>
    </x:row>
    <x:row r="25" ht="26.399999618530273" hidden="0" customHeight="1">
      <x:c r="A25" s="27" t="str">
        <x:v>Penetapan anggaran</x:v>
      </x:c>
      <x:c r="B25" s="27" t="str">
        <x:v>Menetapkan anggaran TI tahunan dan periodik, sumber pendanaan, serta alokasi biaya</x:v>
      </x:c>
      <x:c r="C25" s="27" t="str">
        <x:v>Tahunan + rolling forecast</x:v>
      </x:c>
      <x:c r="D25" s="27" t="str">
        <x:v>CIO / IT Finance</x:v>
      </x:c>
      <x:c r="E25" s="27" t="str">
        <x:v>Anggaran disetujui; planning pack</x:v>
      </x:c>
      <x:c r="F25" s="27" t="str">
        <x:v>Menyelaraskan belanja dengan strategi dan portofolio perusahaan</x:v>
      </x:c>
    </x:row>
    <x:row r="26" ht="26.399999618530273" hidden="0" customHeight="1">
      <x:c r="A26" s="27" t="str">
        <x:v>Manajemen biaya</x:v>
      </x:c>
      <x:c r="B26" s="27" t="str">
        <x:v>Mencatat actual dan memantau varians budget-to-actual / forecast</x:v>
      </x:c>
      <x:c r="C26" s="27" t="str">
        <x:v>Bulanan</x:v>
      </x:c>
      <x:c r="D26" s="27" t="str">
        <x:v>IT Finance Manager</x:v>
      </x:c>
      <x:c r="E26" s="27" t="str">
        <x:v>Tutup buku bulanan; laporan varians</x:v>
      </x:c>
      <x:c r="F26" s="27" t="str">
        <x:v>Mengidentifikasi varians sejak dini dan memulai tindakan korektif</x:v>
      </x:c>
    </x:row>
    <x:row r="27" ht="26.399999618530273" hidden="0" customHeight="1">
      <x:c r="A27" s="27" t="str">
        <x:v>Cost-benefit</x:v>
      </x:c>
      <x:c r="B27" s="27" t="str">
        <x:v>Memvalidasi inisiatif material terhadap business case dan affordability</x:v>
      </x:c>
      <x:c r="C27" s="27" t="str">
        <x:v>Saat intake dan stage gate</x:v>
      </x:c>
      <x:c r="D27" s="27" t="str">
        <x:v>Portfolio Owner</x:v>
      </x:c>
      <x:c r="E27" s="27" t="str">
        <x:v>Business case; persetujuan stage gate</x:v>
      </x:c>
      <x:c r="F27" s="27" t="str">
        <x:v>Memastikan investasi dapat ditelusuri ke nilai yang diharapkan</x:v>
      </x:c>
    </x:row>
    <x:row r="28" ht="26.399999618530273" hidden="0" customHeight="1">
      <x:c r="A28" s="27" t="str">
        <x:v>Reforecast</x:v>
      </x:c>
      <x:c r="B28" s="27" t="str">
        <x:v>Memperbarui forecast, risiko, komitmen, dan action owner</x:v>
      </x:c>
      <x:c r="C28" s="27" t="str">
        <x:v>Triwulanan atau berbasis trigger</x:v>
      </x:c>
      <x:c r="D28" s="27" t="str">
        <x:v>Delegasi CIO / CFO</x:v>
      </x:c>
      <x:c r="E28" s="27" t="str">
        <x:v>Versi reforecast; log persetujuan</x:v>
      </x:c>
      <x:c r="F28" s="27" t="str">
        <x:v>Menjaga pendanaan yang prediktif dan berkelanjutan</x:v>
      </x:c>
    </x:row>
    <x:row r="29" ht="26.399999618530273" hidden="0" customHeight="1">
      <x:c r="A29" s="27" t="str">
        <x:v>Chargeback / alokasi</x:v>
      </x:c>
      <x:c r="B29" s="27" t="str">
        <x:v>Meninjau model alokasi dan mengkomunikasikan charge bila diterapkan</x:v>
      </x:c>
      <x:c r="C29" s="27" t="str">
        <x:v>Triwulanan</x:v>
      </x:c>
      <x:c r="D29" s="27" t="str">
        <x:v>IT Finance / Service Owner</x:v>
      </x:c>
      <x:c r="E29" s="27" t="str">
        <x:v>Model alokasi; sign-off stakeholder</x:v>
      </x:c>
      <x:c r="F29" s="27" t="str">
        <x:v>Memastikan alokasi biaya transparan dan terukur</x:v>
      </x:c>
    </x:row>
  </x:sheetData>
  <x:mergeCells>
    <x:mergeCell ref="A1:J1"/>
    <x:mergeCell ref="A2:P2"/>
    <x:mergeCell ref="A4:J4"/>
    <x:mergeCell ref="A23:J23"/>
  </x:mergeCells>
  <x:dataValidations count="1">
    <x:dataValidation type="list" sqref="H6:H20">
      <x:formula1>"Draft,Menunggu,Disetujui,Ditolak,Digantikan"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16" hidden="0" customWidth="1"/>
    <x:col min="4" max="4" width="18" hidden="0" customWidth="1"/>
    <x:col min="5" max="5" width="18" hidden="0" customWidth="1"/>
    <x:col min="6" max="6" width="24" hidden="0" customWidth="1"/>
    <x:col min="7" max="7" width="50" hidden="0" customWidth="1"/>
    <x:col min="8" max="8" width="18" hidden="0" customWidth="1"/>
    <x:col min="9" max="9" width="52" hidden="0" customWidth="1"/>
    <x:col min="10" max="10" width="18" hidden="0" customWidth="1"/>
  </x:cols>
  <x:sheetData>
    <x:row r="1" ht="19.200000762939453" hidden="0" customHeight="1">
      <x:c r="A1" s="4" t="str">
        <x:v>Cek Model &amp; Register Sumber</x:v>
      </x:c>
      <x:c r="B1" s="4" t="str">
        <x:v>Cek Model &amp; Register Sumber</x:v>
      </x:c>
      <x:c r="C1" s="4" t="str">
        <x:v>Cek Model &amp; Register Sumber</x:v>
      </x:c>
      <x:c r="D1" s="4" t="str">
        <x:v>Cek Model &amp; Register Sumber</x:v>
      </x:c>
      <x:c r="E1" s="4" t="str">
        <x:v>Cek Model &amp; Register Sumber</x:v>
      </x:c>
      <x:c r="F1" s="4" t="str">
        <x:v>Cek Model &amp; Register Sumber</x:v>
      </x:c>
      <x:c r="G1" s="4" t="str">
        <x:v>Cek Model &amp; Register Sumber</x:v>
      </x:c>
      <x:c r="H1" s="4" t="str">
        <x:v>Cek Model &amp; Register Sumber</x:v>
      </x:c>
    </x:row>
    <x:row r="2" ht="15" hidden="0" customHeight="1">
      <x:c r="A2" s="7" t="str">
        <x:v>Gunakan tab ini sebagai titik kontrol tutup buku bulanan dan bukti audit. LULUS berarti cek inti template saat ini rekonsiliasi.</x:v>
      </x:c>
      <x:c r="B2" s="7" t="str">
        <x:v>Gunakan tab ini sebagai titik kontrol tutup buku bulanan dan bukti audit. LULUS berarti cek inti template saat ini rekonsiliasi.</x:v>
      </x:c>
      <x:c r="C2" s="7" t="str">
        <x:v>Gunakan tab ini sebagai titik kontrol tutup buku bulanan dan bukti audit. LULUS berarti cek inti template saat ini rekonsiliasi.</x:v>
      </x:c>
      <x:c r="D2" s="7" t="str">
        <x:v>Gunakan tab ini sebagai titik kontrol tutup buku bulanan dan bukti audit. LULUS berarti cek inti template saat ini rekonsiliasi.</x:v>
      </x:c>
      <x:c r="E2" s="7" t="str">
        <x:v>Gunakan tab ini sebagai titik kontrol tutup buku bulanan dan bukti audit. LULUS berarti cek inti template saat ini rekonsiliasi.</x:v>
      </x:c>
      <x:c r="F2" s="7" t="str">
        <x:v>Gunakan tab ini sebagai titik kontrol tutup buku bulanan dan bukti audit. LULUS berarti cek inti template saat ini rekonsiliasi.</x:v>
      </x:c>
      <x:c r="G2" s="7" t="str">
        <x:v>Gunakan tab ini sebagai titik kontrol tutup buku bulanan dan bukti audit. LULUS berarti cek inti template saat ini rekonsiliasi.</x:v>
      </x:c>
      <x:c r="H2" s="7" t="str">
        <x:v>Gunakan tab ini sebagai titik kontrol tutup buku bulanan dan bukti audit. LULUS berarti cek inti template saat ini rekonsiliasi.</x:v>
      </x:c>
      <x:c r="I2" s="7" t="str">
        <x:v>Gunakan tab ini sebagai titik kontrol tutup buku bulanan dan bukti audit. LULUS berarti cek inti template saat ini rekonsiliasi.</x:v>
      </x:c>
      <x:c r="J2" s="7" t="str">
        <x:v>Gunakan tab ini sebagai titik kontrol tutup buku bulanan dan bukti audit. LULUS berarti cek inti template saat ini rekonsiliasi.</x:v>
      </x:c>
      <x:c r="K2" s="7" t="str">
        <x:v>Gunakan tab ini sebagai titik kontrol tutup buku bulanan dan bukti audit. LULUS berarti cek inti template saat ini rekonsiliasi.</x:v>
      </x:c>
      <x:c r="L2" s="7" t="str">
        <x:v>Gunakan tab ini sebagai titik kontrol tutup buku bulanan dan bukti audit. LULUS berarti cek inti template saat ini rekonsiliasi.</x:v>
      </x:c>
      <x:c r="M2" s="7" t="str">
        <x:v>Gunakan tab ini sebagai titik kontrol tutup buku bulanan dan bukti audit. LULUS berarti cek inti template saat ini rekonsiliasi.</x:v>
      </x:c>
      <x:c r="N2" s="7" t="str">
        <x:v>Gunakan tab ini sebagai titik kontrol tutup buku bulanan dan bukti audit. LULUS berarti cek inti template saat ini rekonsiliasi.</x:v>
      </x:c>
      <x:c r="O2" s="7" t="str">
        <x:v>Gunakan tab ini sebagai titik kontrol tutup buku bulanan dan bukti audit. LULUS berarti cek inti template saat ini rekonsiliasi.</x:v>
      </x:c>
      <x:c r="P2" s="7" t="str">
        <x:v>Gunakan tab ini sebagai titik kontrol tutup buku bulanan dan bukti audit. LULUS berarti cek inti template saat ini rekonsiliasi.</x:v>
      </x:c>
    </x:row>
    <x:row r="3"/>
    <x:row r="4" ht="15" hidden="0" customHeight="1">
      <x:c r="A4" s="10" t="str">
        <x:v>Status kontrol model</x:v>
      </x:c>
      <x:c r="B4" s="10" t="str">
        <x:v>Status kontrol model</x:v>
      </x:c>
      <x:c r="C4" s="10" t="str">
        <x:v>Status kontrol model</x:v>
      </x:c>
      <x:c r="D4" s="10" t="str">
        <x:v>Status kontrol model</x:v>
      </x:c>
      <x:c r="E4" s="10" t="str">
        <x:v>Status kontrol model</x:v>
      </x:c>
      <x:c r="F4" s="10" t="str">
        <x:v>Status kontrol model</x:v>
      </x:c>
    </x:row>
    <x:row r="5" ht="15" hidden="0" customHeight="1">
      <x:c r="A5" s="22" t="str">
        <x:v>Cek</x:v>
      </x:c>
      <x:c r="B5" s="22" t="str">
        <x:v>Hasil</x:v>
      </x:c>
      <x:c r="C5" s="22" t="str">
        <x:v>Lokasi perbaikan</x:v>
      </x:c>
      <x:c r="D5" s="22" t="str">
        <x:v>Catatan</x:v>
      </x:c>
    </x:row>
    <x:row r="6" ht="26.399999618530273" hidden="0" customHeight="1">
      <x:c r="A6" s="27" t="str">
        <x:v>Total phasing bulanan 100%</x:v>
      </x:c>
      <x:c r="B6" s="37" t="str">
        <x:f>IF('Asumsi'!$Q$7=1,"LULUS","GAGAL")</x:f>
        <x:v>LULUS</x:v>
      </x:c>
      <x:c r="C6" s="27" t="str">
        <x:v>Asumsi!F6:Q6</x:v>
      </x:c>
      <x:c r="D6" s="27" t="str">
        <x:v>Distribusi harus tepat 100%.</x:v>
      </x:c>
    </x:row>
    <x:row r="7" ht="26.399999618530273" hidden="0" customHeight="1">
      <x:c r="A7" s="27" t="str">
        <x:v>Baris input anggaran memiliki Budget ID</x:v>
      </x:c>
      <x:c r="B7" s="37" t="str">
        <x:f>IF(COUNTBLANK('Input Anggaran'!$A$7:$A$11)=0,"LULUS","TINJAU")</x:f>
        <x:v>LULUS</x:v>
      </x:c>
      <x:c r="C7" s="27" t="str">
        <x:v>Input Anggaran!A7:A36</x:v>
      </x:c>
      <x:c r="D7" s="27" t="str">
        <x:v>Minimal baris anggaran aktif wajib memiliki ID.</x:v>
      </x:c>
    </x:row>
    <x:row r="8" ht="26.399999618530273" hidden="0" customHeight="1">
      <x:c r="A8" s="27" t="str">
        <x:v>Forecast FY rekonsiliasi dengan kontrol anggaran</x:v>
      </x:c>
      <x:c r="B8" s="37" t="str">
        <x:f>IF(ABS(SUM('Kontrol Anggaran'!$U$7:$U$36)-SUM('Kontrol Anggaran'!$F$7:$F$36)-SUM('Kontrol Anggaran'!$V$7:$V$36))&lt;1,"LULUS","GAGAL")</x:f>
        <x:v>LULUS</x:v>
      </x:c>
      <x:c r="C8" s="27" t="str">
        <x:v>Kontrol Anggaran!F:V</x:v>
      </x:c>
      <x:c r="D8" s="27" t="str">
        <x:v>Forecast = budget + varians.</x:v>
      </x:c>
    </x:row>
    <x:row r="9" ht="39.599998474121094" hidden="0" customHeight="1">
      <x:c r="A9" s="27" t="str">
        <x:v>Tidak ada pengecualian forecast di atas ambang eskalasi</x:v>
      </x:c>
      <x:c r="B9" s="37" t="str">
        <x:f>IF(COUNTIF('Kontrol Anggaran'!$X$7:$X$36,"ESKALASI")=0,"LULUS","TINJAU")</x:f>
        <x:v>LULUS</x:v>
      </x:c>
      <x:c r="C9" s="27" t="str">
        <x:v>Kontrol Anggaran!X:X</x:v>
      </x:c>
      <x:c r="D9" s="27" t="str">
        <x:v>Eskalasi varians mengikuti ambang batas pada Asumsi.</x:v>
      </x:c>
    </x:row>
    <x:row r="10" ht="39.599998474121094" hidden="0" customHeight="1">
      <x:c r="A10" s="27" t="str">
        <x:v>Status model</x:v>
      </x:c>
      <x:c r="B10" s="37" t="str">
        <x:f>IF(COUNTIF(B6:B9,"GAGAL")&gt;0,"GAGAL",IF(COUNTIF(B6:B9,"TINJAU")&gt;0,"TINJAU","LULUS"))</x:f>
        <x:v>LULUS</x:v>
      </x:c>
      <x:c r="C10" s="27" t="str">
        <x:v>Selesaikan item GAGAL atau TINJAU di atas</x:v>
      </x:c>
      <x:c r="D10" s="27" t="str">
        <x:v>Ringkasan tindakan kontrol yang dibutuhkan.</x:v>
      </x:c>
    </x:row>
    <x:row r="11"/>
    <x:row r="12"/>
    <x:row r="13" ht="15" hidden="0" customHeight="1">
      <x:c r="A13" s="10" t="str">
        <x:v>Register sumber</x:v>
      </x:c>
      <x:c r="B13" s="10" t="str">
        <x:v>Register sumber</x:v>
      </x:c>
      <x:c r="C13" s="10" t="str">
        <x:v>Register sumber</x:v>
      </x:c>
      <x:c r="D13" s="10" t="str">
        <x:v>Register sumber</x:v>
      </x:c>
      <x:c r="E13" s="10" t="str">
        <x:v>Register sumber</x:v>
      </x:c>
      <x:c r="F13" s="10" t="str">
        <x:v>Register sumber</x:v>
      </x:c>
      <x:c r="G13" s="10" t="str">
        <x:v>Register sumber</x:v>
      </x:c>
      <x:c r="H13" s="10" t="str">
        <x:v>Register sumber</x:v>
      </x:c>
      <x:c r="I13" s="10" t="str">
        <x:v>Register sumber</x:v>
      </x:c>
      <x:c r="J13" s="10" t="str">
        <x:v>Register sumber</x:v>
      </x:c>
    </x:row>
    <x:row r="14" ht="15" hidden="0" customHeight="1">
      <x:c r="A14" s="22" t="str">
        <x:v>Item</x:v>
      </x:c>
      <x:c r="B14" s="22" t="str">
        <x:v>Nilai / Deskripsi</x:v>
      </x:c>
      <x:c r="C14" s="22" t="str">
        <x:v>Unit</x:v>
      </x:c>
      <x:c r="D14" s="22" t="str">
        <x:v>Periode / As-of</x:v>
      </x:c>
      <x:c r="E14" s="22" t="str">
        <x:v>Jenis Sumber</x:v>
      </x:c>
      <x:c r="F14" s="22" t="str">
        <x:v>Nama Sumber</x:v>
      </x:c>
      <x:c r="G14" s="22" t="str">
        <x:v>URL Referensi</x:v>
      </x:c>
      <x:c r="H14" s="22" t="str">
        <x:v>Owner</x:v>
      </x:c>
      <x:c r="I14" s="22" t="str">
        <x:v>Catatan</x:v>
      </x:c>
      <x:c r="J14" s="22" t="str">
        <x:v>Diakses / Diperbarui</x:v>
      </x:c>
    </x:row>
    <x:row r="15" ht="26.399999618530273" hidden="0" customHeight="1">
      <x:c r="A15" s="27" t="str">
        <x:v>Framework tata kelola</x:v>
      </x:c>
      <x:c r="B15" s="27" t="str">
        <x:v>Referensi COBIT 2019 governance and management objective</x:v>
      </x:c>
      <x:c r="C15" s="27" t="str">
        <x:v>Framework</x:v>
      </x:c>
      <x:c r="D15" s="27" t="str">
        <x:v>2019</x:v>
      </x:c>
      <x:c r="E15" s="27" t="str">
        <x:v>Standar eksternal</x:v>
      </x:c>
      <x:c r="F15" s="27" t="str">
        <x:v>ISACA COBIT resource center</x:v>
      </x:c>
      <x:c r="G15" s="27" t="str">
        <x:v>https://www.isaca.org/resources/cobit</x:v>
      </x:c>
      <x:c r="H15" s="27" t="str">
        <x:v>IT Governance</x:v>
      </x:c>
      <x:c r="I15" s="27" t="str">
        <x:v>APO06 digunakan sebagai anchor desain tata kelola finansial.</x:v>
      </x:c>
      <x:c r="J15" s="39" t="n">
        <x:v>46266</x:v>
      </x:c>
    </x:row>
    <x:row r="16" ht="39.599998474121094" hidden="0" customHeight="1">
      <x:c r="A16" s="27" t="str">
        <x:v>Konteks APO06</x:v>
      </x:c>
      <x:c r="B16" s="27" t="str">
        <x:v>Managed Budget and Costs; pemilihan target capability perlu disesuaikan dengan design factor perusahaan</x:v>
      </x:c>
      <x:c r="C16" s="27" t="str">
        <x:v>Referensi framework</x:v>
      </x:c>
      <x:c r="D16" s="27" t="str">
        <x:v>2019</x:v>
      </x:c>
      <x:c r="E16" s="27" t="str">
        <x:v>Standar eksternal</x:v>
      </x:c>
      <x:c r="F16" s="27" t="str">
        <x:v>Artikel ISACA</x:v>
      </x:c>
      <x:c r="G16" s="27" t="str">
        <x:v>https://www.isaca.org/resources/news-and-trends/industry-news/2019/defining-target-capability-levels-in-cobit-2019-a-proposal-for-refinement</x:v>
      </x:c>
      <x:c r="H16" s="27" t="str">
        <x:v>IT Governance</x:v>
      </x:c>
      <x:c r="I16" s="27" t="str">
        <x:v>Konfirmasi praktik proses spesifik organisasi dengan konten COBIT 2019 Governance and Management Objectives berlisensi.</x:v>
      </x:c>
      <x:c r="J16" s="39" t="n">
        <x:v>46266</x:v>
      </x:c>
    </x:row>
    <x:row r="17" ht="26.399999618530273" hidden="0" customHeight="1">
      <x:c r="A17" s="27" t="str">
        <x:v>Input anggaran</x:v>
      </x:c>
      <x:c r="B17" s="27" t="str">
        <x:v>Rencana tahunan/periodik, actual, komitmen, dan forecast</x:v>
      </x:c>
      <x:c r="C17" s="27" t="str">
        <x:v>IDR</x:v>
      </x:c>
      <x:c r="D17" s="27" t="str">
        <x:v>Tahun Fiskal</x:v>
      </x:c>
      <x:c r="E17" s="27" t="str">
        <x:v>Input internal</x:v>
      </x:c>
      <x:c r="F17" s="27" t="str">
        <x:v>ERP / GL / procurement / sistem portofolio</x:v>
      </x:c>
      <x:c r="G17" s="27" t="str"/>
      <x:c r="H17" s="27" t="str">
        <x:v>IT Finance</x:v>
      </x:c>
      <x:c r="I17" s="27" t="str">
        <x:v>Ganti contoh dengan data organisasi yang sudah disetujui dan simpan ID laporan sumber.</x:v>
      </x:c>
      <x:c r="J17" s="39" t="n">
        <x:v>46266</x:v>
      </x:c>
    </x:row>
  </x:sheetData>
  <x:mergeCells>
    <x:mergeCell ref="A1:H1"/>
    <x:mergeCell ref="A2:P2"/>
    <x:mergeCell ref="A4:F4"/>
    <x:mergeCell ref="A13:J13"/>
  </x:mergeCells>
  <x:conditionalFormatting sqref="B6:B10">
    <x:cfRule type="containsText" dxfId="3" priority="1" operator="containsText" text="GAGAL"/>
    <x:cfRule type="containsText" dxfId="4" priority="2" operator="containsText" text="TINJAU"/>
    <x:cfRule type="containsText" dxfId="5" priority="3" operator="containsText" text="LULUS"/>
  </x:conditionalFormatting>
  <x:pageMargins left="0.7" right="0.7" top="0.75" bottom="0.75" header="0.3" footer="0.3"/>
</x:worksheet>
</file>